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2" autoFilterDateGrouping="1" firstSheet="0" minimized="0" showHorizontalScroll="1" showSheetTabs="1" showVerticalScroll="1" tabRatio="600" visibility="visible" windowHeight="10605" windowWidth="40695" xWindow="0" yWindow="0"/>
  </bookViews>
  <sheets>
    <sheet xmlns:r="http://schemas.openxmlformats.org/officeDocument/2006/relationships" name="汇总" sheetId="1" state="visible" r:id="rId1"/>
    <sheet xmlns:r="http://schemas.openxmlformats.org/officeDocument/2006/relationships" name="期权daily盈亏收盘价版" sheetId="2" state="visible" r:id="rId2"/>
    <sheet xmlns:r="http://schemas.openxmlformats.org/officeDocument/2006/relationships" name="期货daily盈亏表" sheetId="3" state="visible" r:id="rId3"/>
  </sheets>
  <definedNames/>
  <calcPr calcId="162913" fullCalcOnLoad="1"/>
</workbook>
</file>

<file path=xl/sharedStrings.xml><?xml version="1.0" encoding="utf-8"?>
<sst xmlns="http://schemas.openxmlformats.org/spreadsheetml/2006/main" uniqueCount="166">
  <si>
    <t>交易员</t>
  </si>
  <si>
    <t>接单（主动or被动）</t>
  </si>
  <si>
    <t>状态</t>
  </si>
  <si>
    <t>客户名称</t>
  </si>
  <si>
    <t>客户类别</t>
  </si>
  <si>
    <t>开始日</t>
  </si>
  <si>
    <t>到期日</t>
  </si>
  <si>
    <t xml:space="preserve">标的	</t>
  </si>
  <si>
    <t xml:space="preserve">客户交易方向	</t>
  </si>
  <si>
    <t xml:space="preserve">类型	</t>
  </si>
  <si>
    <t>数量(吨）</t>
  </si>
  <si>
    <t>行权价</t>
  </si>
  <si>
    <t>入场价</t>
  </si>
  <si>
    <t>单位权利金</t>
  </si>
  <si>
    <t>权利金</t>
  </si>
  <si>
    <t>类型</t>
  </si>
  <si>
    <t>客户交易方向</t>
  </si>
  <si>
    <t>进场波动度</t>
  </si>
  <si>
    <t xml:space="preserve">天数	</t>
  </si>
  <si>
    <t xml:space="preserve">时间	</t>
  </si>
  <si>
    <t xml:space="preserve">到期时间	</t>
  </si>
  <si>
    <t xml:space="preserve">期权计算日	</t>
  </si>
  <si>
    <t xml:space="preserve">昨日期权计算日	</t>
  </si>
  <si>
    <t xml:space="preserve">Risk-free rate ( r )	</t>
  </si>
  <si>
    <t xml:space="preserve">Cost of carry ( b )	</t>
  </si>
  <si>
    <t xml:space="preserve">今日收盘价格	</t>
  </si>
  <si>
    <t xml:space="preserve">昨日收盘价格	</t>
  </si>
  <si>
    <t xml:space="preserve">今日市价	</t>
  </si>
  <si>
    <t xml:space="preserve">昨日市价	</t>
  </si>
  <si>
    <t xml:space="preserve">期权dialy持仓盈亏	</t>
  </si>
  <si>
    <t>台账编号</t>
  </si>
  <si>
    <t>确认书编号</t>
  </si>
  <si>
    <t>期权今日市价估值</t>
  </si>
  <si>
    <t>交易方向(我方)</t>
  </si>
  <si>
    <t>期权今日浮动盈亏</t>
  </si>
  <si>
    <t>谢晨星</t>
  </si>
  <si>
    <t>主动</t>
  </si>
  <si>
    <t>存续</t>
  </si>
  <si>
    <t>国泰君安风险管理有限公司</t>
  </si>
  <si>
    <t>其他</t>
  </si>
  <si>
    <t>c2005</t>
  </si>
  <si>
    <t>卖出</t>
  </si>
  <si>
    <t>欧式看跌</t>
  </si>
  <si>
    <t>P</t>
  </si>
  <si>
    <t>S</t>
  </si>
  <si>
    <t>15:00:01</t>
  </si>
  <si>
    <t>2020-01-02 15:00:01</t>
  </si>
  <si>
    <t>2019-12-31 15:00:01</t>
  </si>
  <si>
    <t>OTC-C00426</t>
  </si>
  <si>
    <t>何剑桥</t>
  </si>
  <si>
    <t>被动</t>
  </si>
  <si>
    <t>宁波中哲物产有限公司</t>
  </si>
  <si>
    <t>产业</t>
  </si>
  <si>
    <t>ru2005</t>
  </si>
  <si>
    <t>OTC-C00474</t>
  </si>
  <si>
    <t>OTC-C00477</t>
  </si>
  <si>
    <t>华泰长城资本管理有限公司</t>
  </si>
  <si>
    <t>bu2006</t>
  </si>
  <si>
    <t>买入</t>
  </si>
  <si>
    <t>美式看涨</t>
  </si>
  <si>
    <t>C</t>
  </si>
  <si>
    <t>B</t>
  </si>
  <si>
    <t>OTC-C00497</t>
  </si>
  <si>
    <t>美式看跌</t>
  </si>
  <si>
    <t>欧式看涨</t>
  </si>
  <si>
    <t>OTC-C00498</t>
  </si>
  <si>
    <t>申万宏源证券有限公司</t>
  </si>
  <si>
    <t>al2003</t>
  </si>
  <si>
    <t>互换</t>
  </si>
  <si>
    <t>OTC-C00537</t>
  </si>
  <si>
    <t>al2004</t>
  </si>
  <si>
    <t>OTC-C00538</t>
  </si>
  <si>
    <t>OTC-C00543</t>
  </si>
  <si>
    <t>武汉劲暄物业管理有限公司</t>
  </si>
  <si>
    <t>OTC-C00549</t>
  </si>
  <si>
    <t>刘剑溥</t>
  </si>
  <si>
    <t>上海锐镐有色金属股份有限公司</t>
  </si>
  <si>
    <t>rb2005</t>
  </si>
  <si>
    <t>OTC-C00571</t>
  </si>
  <si>
    <t>OTC-C00574</t>
  </si>
  <si>
    <t>亨通集团上海贸易有限公司</t>
  </si>
  <si>
    <t>cu2002</t>
  </si>
  <si>
    <t>OTC-C00577</t>
  </si>
  <si>
    <t>上海海通资源管理有限公司</t>
  </si>
  <si>
    <t>v2005</t>
  </si>
  <si>
    <t>OTC-C00578</t>
  </si>
  <si>
    <t>深圳茂源资本资产管理有限公司</t>
  </si>
  <si>
    <t>OTC-C00580</t>
  </si>
  <si>
    <t>宁波杉杉能化有限公司</t>
  </si>
  <si>
    <t>OTC-C00581</t>
  </si>
  <si>
    <t>中信证券股份有限公司</t>
  </si>
  <si>
    <t>i2005</t>
  </si>
  <si>
    <t>OTC-C00582</t>
  </si>
  <si>
    <t>OTC-C00583</t>
  </si>
  <si>
    <t>cu2003</t>
  </si>
  <si>
    <t>OTC-C00584</t>
  </si>
  <si>
    <t>卓汇基金管理有限公司</t>
  </si>
  <si>
    <t>SA005</t>
  </si>
  <si>
    <t>OTC-C00585</t>
  </si>
  <si>
    <t>浙江永安资本管理有限公司</t>
  </si>
  <si>
    <t>p2005</t>
  </si>
  <si>
    <t>OTC-C00586</t>
  </si>
  <si>
    <t>南京构世云贸易有限公司</t>
  </si>
  <si>
    <t>OTC-C00589</t>
  </si>
  <si>
    <t>sp2005</t>
  </si>
  <si>
    <t>OTC-C00590</t>
  </si>
  <si>
    <t>OTC-C00591</t>
  </si>
  <si>
    <t>OTC-C00592</t>
  </si>
  <si>
    <t>陈俊</t>
  </si>
  <si>
    <t>上海新湖瑞丰金融服务有限公司</t>
  </si>
  <si>
    <t>OTC-C00593</t>
  </si>
  <si>
    <t>OTC-C00594</t>
  </si>
  <si>
    <t>鲁证经贸有限公司</t>
  </si>
  <si>
    <t>j2005</t>
  </si>
  <si>
    <t>OTC-C00595</t>
  </si>
  <si>
    <t>OTC-C00596</t>
  </si>
  <si>
    <t>千惠云航1号私募证券投资基金</t>
  </si>
  <si>
    <t>OTC-C00599</t>
  </si>
  <si>
    <t>千惠领航5号私募证券投资基金</t>
  </si>
  <si>
    <t>OTC-C00600</t>
  </si>
  <si>
    <t>中国人民财产保险股份有限公司广西壮族自治区分公司</t>
  </si>
  <si>
    <t>0.68*c2009+0.2*m2009</t>
  </si>
  <si>
    <t>亚式平值看跌期权</t>
  </si>
  <si>
    <t>16%/25%</t>
  </si>
  <si>
    <t>OTC-C00601</t>
  </si>
  <si>
    <t>OTC-C00603</t>
  </si>
  <si>
    <t>新增</t>
  </si>
  <si>
    <t>浙江南华资本管理有限公司</t>
  </si>
  <si>
    <t>OTC-20C00001</t>
  </si>
  <si>
    <t>北大荒粮食集团有限公司</t>
  </si>
  <si>
    <t>增强亚式看涨</t>
  </si>
  <si>
    <t>OTC-20C00002</t>
  </si>
  <si>
    <t>到期</t>
  </si>
  <si>
    <t>FG005</t>
  </si>
  <si>
    <t>OTC-C00570</t>
  </si>
  <si>
    <t>盈亏</t>
  </si>
  <si>
    <t xml:space="preserve"> </t>
  </si>
  <si>
    <t>平仓盈亏</t>
  </si>
  <si>
    <t>持仓盯市盈亏</t>
  </si>
  <si>
    <t>手续费</t>
  </si>
  <si>
    <t>扣除手续费后</t>
  </si>
  <si>
    <t>0009</t>
  </si>
  <si>
    <t>0019</t>
  </si>
  <si>
    <t>0029</t>
  </si>
  <si>
    <t>0039</t>
  </si>
  <si>
    <t>场内CU</t>
  </si>
  <si>
    <t>场内RU</t>
  </si>
  <si>
    <t>场内CF</t>
  </si>
  <si>
    <t>场内i</t>
  </si>
  <si>
    <t>合计</t>
  </si>
  <si>
    <t>持仓盈亏</t>
  </si>
  <si>
    <t>c</t>
  </si>
  <si>
    <t>p</t>
  </si>
  <si>
    <t>m</t>
  </si>
  <si>
    <t>i</t>
  </si>
  <si>
    <t>j</t>
  </si>
  <si>
    <t>cu</t>
  </si>
  <si>
    <t>v</t>
  </si>
  <si>
    <t>sp</t>
  </si>
  <si>
    <t>bu</t>
  </si>
  <si>
    <t>al</t>
  </si>
  <si>
    <t>ru</t>
  </si>
  <si>
    <t>SA</t>
  </si>
  <si>
    <t>rb</t>
  </si>
  <si>
    <t>c2009</t>
  </si>
  <si>
    <t>m2009</t>
  </si>
</sst>
</file>

<file path=xl/styles.xml><?xml version="1.0" encoding="utf-8"?>
<styleSheet xmlns="http://schemas.openxmlformats.org/spreadsheetml/2006/main">
  <numFmts count="2">
    <numFmt formatCode="yyyy/m/d" numFmtId="164"/>
    <numFmt formatCode="#,##0.00_);[red](#,##0.00)" numFmtId="165"/>
  </numFmts>
  <fonts count="4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宋体"/>
      <sz val="11"/>
    </font>
    <font>
      <name val="宋体"/>
      <b val="1"/>
      <sz val="11"/>
    </font>
  </fonts>
  <fills count="11">
    <fill>
      <patternFill/>
    </fill>
    <fill>
      <patternFill patternType="gray125"/>
    </fill>
    <fill>
      <patternFill patternType="solid">
        <fgColor rgb="00C5D9F1"/>
      </patternFill>
    </fill>
    <fill>
      <patternFill patternType="solid">
        <fgColor rgb="00D9D9D9"/>
      </patternFill>
    </fill>
    <fill>
      <patternFill patternType="solid">
        <fgColor rgb="00F79646"/>
      </patternFill>
    </fill>
    <fill>
      <patternFill patternType="solid">
        <fgColor rgb="00B8CCE4"/>
      </patternFill>
    </fill>
    <fill>
      <patternFill patternType="solid">
        <fgColor rgb="00DA9694"/>
      </patternFill>
    </fill>
    <fill>
      <patternFill patternType="solid">
        <fgColor rgb="002FA4E7"/>
      </patternFill>
    </fill>
    <fill>
      <patternFill patternType="solid">
        <fgColor rgb="00F4B084"/>
      </patternFill>
    </fill>
    <fill>
      <patternFill patternType="solid">
        <fgColor rgb="00FCD5B4"/>
      </patternFill>
    </fill>
    <fill>
      <patternFill patternType="solid">
        <fgColor rgb="00FFFF00"/>
      </patternFill>
    </fill>
  </fills>
  <borders count="2">
    <border>
      <left/>
      <right/>
      <top/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  <diagonal/>
    </border>
  </borders>
  <cellStyleXfs count="1">
    <xf applyAlignment="1" borderId="0" fillId="0" fontId="0" numFmtId="0">
      <alignment vertical="center"/>
    </xf>
  </cellStyleXfs>
  <cellXfs count="23">
    <xf applyAlignment="1" borderId="0" fillId="0" fontId="0" numFmtId="0" pivotButton="0" quotePrefix="0" xfId="0">
      <alignment vertical="center"/>
    </xf>
    <xf borderId="0" fillId="0" fontId="0" numFmtId="0" pivotButton="0" quotePrefix="0" xfId="0"/>
    <xf applyAlignment="1" borderId="1" fillId="2" fontId="2" numFmtId="0" pivotButton="0" quotePrefix="0" xfId="0">
      <alignment horizontal="center" vertical="center" wrapText="1"/>
    </xf>
    <xf applyAlignment="1" borderId="1" fillId="3" fontId="2" numFmtId="0" pivotButton="0" quotePrefix="0" xfId="0">
      <alignment horizontal="center" vertical="center"/>
    </xf>
    <xf applyAlignment="1" borderId="1" fillId="4" fontId="2" numFmtId="0" pivotButton="0" quotePrefix="0" xfId="0">
      <alignment horizontal="center" vertical="center"/>
    </xf>
    <xf applyAlignment="1" borderId="1" fillId="3" fontId="2" numFmtId="164" pivotButton="0" quotePrefix="0" xfId="0">
      <alignment horizontal="center" vertical="center"/>
    </xf>
    <xf applyAlignment="1" borderId="1" fillId="3" fontId="2" numFmtId="10" pivotButton="0" quotePrefix="0" xfId="0">
      <alignment horizontal="center" vertical="center"/>
    </xf>
    <xf applyAlignment="1" borderId="1" fillId="5" fontId="2" numFmtId="0" pivotButton="0" quotePrefix="0" xfId="0">
      <alignment horizontal="center" vertical="center"/>
    </xf>
    <xf applyAlignment="1" borderId="1" fillId="10" fontId="2" numFmtId="0" pivotButton="0" quotePrefix="0" xfId="0">
      <alignment horizontal="center" vertical="center"/>
    </xf>
    <xf applyAlignment="1" borderId="1" fillId="10" fontId="2" numFmtId="164" pivotButton="0" quotePrefix="0" xfId="0">
      <alignment horizontal="center" vertical="center"/>
    </xf>
    <xf applyAlignment="1" borderId="1" fillId="10" fontId="2" numFmtId="10" pivotButton="0" quotePrefix="0" xfId="0">
      <alignment horizontal="center" vertical="center"/>
    </xf>
    <xf applyAlignment="1" borderId="1" fillId="6" fontId="2" numFmtId="0" pivotButton="0" quotePrefix="0" xfId="0">
      <alignment horizontal="center" vertical="center"/>
    </xf>
    <xf applyAlignment="1" borderId="1" fillId="9" fontId="2" numFmtId="0" pivotButton="0" quotePrefix="0" xfId="0">
      <alignment horizontal="center" vertical="center"/>
    </xf>
    <xf borderId="1" fillId="7" fontId="0" numFmtId="0" pivotButton="0" quotePrefix="0" xfId="0"/>
    <xf borderId="1" fillId="8" fontId="0" numFmtId="0" pivotButton="0" quotePrefix="0" xfId="0"/>
    <xf borderId="0" fillId="7" fontId="0" numFmtId="0" pivotButton="0" quotePrefix="0" xfId="0"/>
    <xf borderId="0" fillId="8" fontId="0" numFmtId="0" pivotButton="0" quotePrefix="0" xfId="0"/>
    <xf applyAlignment="1" borderId="1" fillId="3" fontId="2" numFmtId="164" pivotButton="0" quotePrefix="0" xfId="0">
      <alignment horizontal="center" vertical="center"/>
    </xf>
    <xf applyAlignment="1" borderId="1" fillId="10" fontId="2" numFmtId="164" pivotButton="0" quotePrefix="0" xfId="0">
      <alignment horizontal="center" vertical="center"/>
    </xf>
    <xf applyAlignment="1" borderId="1" fillId="0" fontId="3" numFmtId="0" pivotButton="0" quotePrefix="0" xfId="0">
      <alignment horizontal="center" vertical="center"/>
    </xf>
    <xf applyAlignment="1" borderId="1" fillId="0" fontId="2" numFmtId="0" pivotButton="0" quotePrefix="0" xfId="0">
      <alignment horizontal="center" vertical="center"/>
    </xf>
    <xf applyAlignment="1" borderId="1" fillId="0" fontId="2" numFmtId="165" pivotButton="0" quotePrefix="0" xfId="0">
      <alignment horizontal="center" vertical="center"/>
    </xf>
    <xf borderId="0" fillId="0" fontId="0" numFmtId="165" pivotButton="0" quotePrefix="0" xfId="0"/>
  </cellXfs>
  <cellStyles count="1">
    <cellStyle builtinId="0" name="常规" xfId="0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sharedStrings.xml" Type="http://schemas.openxmlformats.org/officeDocument/2006/relationships/sharedStrings"/><Relationship Id="rId5" Target="styles.xml" Type="http://schemas.openxmlformats.org/officeDocument/2006/relationships/styles"/><Relationship Id="rId6" Target="theme/theme1.xml" Type="http://schemas.openxmlformats.org/officeDocument/2006/relationships/theme"/><Relationship Id="rId7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F10" sqref="F10"/>
    </sheetView>
  </sheetViews>
  <sheetFormatPr baseColWidth="8" defaultRowHeight="14.25"/>
  <sheetData/>
  <pageMargins bottom="0.75" footer="0.3" header="0.3" left="0.7" right="0.7" top="0.7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I85"/>
  <sheetViews>
    <sheetView workbookViewId="0">
      <selection activeCell="A2" sqref="A2"/>
    </sheetView>
  </sheetViews>
  <sheetFormatPr baseColWidth="8" defaultRowHeight="14.25" outlineLevelCol="0"/>
  <cols>
    <col customWidth="1" max="1" min="1" style="1" width="10"/>
    <col customWidth="1" max="2" min="2" style="1" width="10"/>
    <col customWidth="1" max="3" min="3" style="1" width="10"/>
    <col customWidth="1" max="4" min="4" style="1" width="30"/>
    <col customWidth="1" max="5" min="5" style="1" width="10"/>
    <col customWidth="1" max="6" min="6" style="1" width="20"/>
    <col customWidth="1" max="7" min="7" style="1" width="20"/>
    <col customWidth="1" max="8" min="8" style="1" width="10"/>
    <col customWidth="1" max="9" min="9" style="1" width="10"/>
    <col customWidth="1" max="10" min="10" style="1" width="10"/>
    <col customWidth="1" max="11" min="11" style="1" width="10"/>
    <col customWidth="1" max="12" min="12" style="1" width="10"/>
    <col customWidth="1" max="13" min="13" style="1" width="10"/>
    <col customWidth="1" max="14" min="14" style="1" width="10"/>
    <col customWidth="1" max="15" min="15" style="1" width="10"/>
    <col customWidth="1" max="16" min="16" style="1" width="10"/>
    <col customWidth="1" max="17" min="17" style="1" width="10"/>
    <col customWidth="1" max="18" min="18" style="1" width="10"/>
    <col customWidth="1" max="19" min="19" style="1" width="10"/>
    <col customWidth="1" max="20" min="20" style="1" width="10"/>
    <col customWidth="1" max="21" min="21" style="1" width="10"/>
    <col customWidth="1" max="22" min="22" style="1" width="20"/>
    <col customWidth="1" max="23" min="23" style="1" width="20"/>
    <col customWidth="1" max="24" min="24" style="1" width="10"/>
    <col customWidth="1" max="25" min="25" style="1" width="10"/>
    <col customWidth="1" max="26" min="26" style="1" width="10"/>
    <col customWidth="1" max="27" min="27" style="1" width="10"/>
    <col customWidth="1" max="28" min="28" style="1" width="10"/>
    <col customWidth="1" max="29" min="29" style="1" width="10"/>
    <col customWidth="1" max="30" min="30" style="1" width="20"/>
    <col customWidth="1" max="31" min="31" style="1" width="10"/>
    <col customWidth="1" max="32" min="32" style="1" width="20"/>
    <col customWidth="1" max="33" min="33" style="1" width="20"/>
    <col customWidth="1" max="34" min="34" style="1" width="10"/>
    <col customWidth="1" max="35" min="35" style="1" width="20"/>
  </cols>
  <sheetData>
    <row customHeight="1" ht="40" r="1" s="1" spans="1: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</row>
    <row customHeight="1" ht="20" r="2" s="1" spans="1:35">
      <c r="A2" s="3" t="s">
        <v>35</v>
      </c>
      <c r="B2" s="3" t="s">
        <v>36</v>
      </c>
      <c r="C2" s="3" t="s">
        <v>37</v>
      </c>
      <c r="D2" s="4" t="s">
        <v>38</v>
      </c>
      <c r="E2" s="3" t="s">
        <v>39</v>
      </c>
      <c r="F2" s="17" t="n">
        <v>43714</v>
      </c>
      <c r="G2" s="17" t="n">
        <v>43896</v>
      </c>
      <c r="H2" s="3" t="s">
        <v>40</v>
      </c>
      <c r="I2" s="3" t="s">
        <v>41</v>
      </c>
      <c r="J2" s="3" t="s">
        <v>42</v>
      </c>
      <c r="K2" s="3" t="n">
        <v>2500</v>
      </c>
      <c r="L2" s="3" t="n">
        <v>1906.1</v>
      </c>
      <c r="M2" s="3" t="n">
        <v>1945</v>
      </c>
      <c r="N2" s="3" t="n">
        <v>21.04</v>
      </c>
      <c r="O2" s="3">
        <f>N2*K2</f>
        <v/>
      </c>
      <c r="P2" s="3" t="s">
        <v>43</v>
      </c>
      <c r="Q2" s="3" t="s">
        <v>44</v>
      </c>
      <c r="R2" s="6" t="n">
        <v>0.07099999999999999</v>
      </c>
      <c r="S2" s="3" t="n">
        <v>41</v>
      </c>
      <c r="T2" s="3" t="s">
        <v>45</v>
      </c>
      <c r="U2" s="17" t="n">
        <v>43896</v>
      </c>
      <c r="V2" s="3" t="s">
        <v>46</v>
      </c>
      <c r="W2" s="3" t="s">
        <v>47</v>
      </c>
      <c r="X2" s="6" t="n">
        <v>0.045</v>
      </c>
      <c r="Y2" s="3" t="n">
        <v>0</v>
      </c>
      <c r="Z2" s="3" t="n">
        <v>1918</v>
      </c>
      <c r="AA2" s="3" t="n">
        <v>1910</v>
      </c>
      <c r="AB2" s="3">
        <f>GBlackScholes(P2,Z2,L2,S2/245,X2,Y2,R2)</f>
        <v/>
      </c>
      <c r="AC2" s="3">
        <f>GBlackScholes(P2,AA2,L2,(S2+1)/245,X2,Y2,R2)</f>
        <v/>
      </c>
      <c r="AD2" s="3">
        <f>IF(I2="卖出",(AB2-AC2)*K2,(AC2-AB2)*K2)</f>
        <v/>
      </c>
      <c r="AE2" s="3" t="n">
        <v>98</v>
      </c>
      <c r="AF2" s="3" t="s">
        <v>48</v>
      </c>
      <c r="AG2" s="3">
        <f>AB2</f>
        <v/>
      </c>
      <c r="AH2" s="3" t="n">
        <v>1</v>
      </c>
      <c r="AI2" s="3">
        <f>(AG2-N2)*K2*AH2</f>
        <v/>
      </c>
    </row>
    <row customHeight="1" ht="20" r="3" s="1" spans="1:35">
      <c r="A3" s="3" t="s">
        <v>49</v>
      </c>
      <c r="B3" s="3" t="s">
        <v>50</v>
      </c>
      <c r="C3" s="3" t="s">
        <v>37</v>
      </c>
      <c r="D3" s="7" t="s">
        <v>51</v>
      </c>
      <c r="E3" s="3" t="s">
        <v>52</v>
      </c>
      <c r="F3" s="17" t="n">
        <v>43754</v>
      </c>
      <c r="G3" s="17" t="n">
        <v>43941</v>
      </c>
      <c r="H3" s="3" t="s">
        <v>53</v>
      </c>
      <c r="I3" s="3" t="s">
        <v>41</v>
      </c>
      <c r="J3" s="3" t="s">
        <v>42</v>
      </c>
      <c r="K3" s="3" t="n">
        <v>1000</v>
      </c>
      <c r="L3" s="3" t="n">
        <v>11000</v>
      </c>
      <c r="M3" s="3" t="n">
        <v>11770</v>
      </c>
      <c r="N3" s="3" t="n">
        <v>361.507</v>
      </c>
      <c r="O3" s="3">
        <f>N3*K3</f>
        <v/>
      </c>
      <c r="P3" s="3" t="s">
        <v>43</v>
      </c>
      <c r="Q3" s="3" t="s">
        <v>44</v>
      </c>
      <c r="R3" s="6" t="n">
        <v>0.21</v>
      </c>
      <c r="S3" s="3" t="n">
        <v>71</v>
      </c>
      <c r="T3" s="3" t="s">
        <v>45</v>
      </c>
      <c r="U3" s="17" t="n">
        <v>43941</v>
      </c>
      <c r="V3" s="3" t="s">
        <v>46</v>
      </c>
      <c r="W3" s="3" t="s">
        <v>47</v>
      </c>
      <c r="X3" s="6" t="n">
        <v>0.045</v>
      </c>
      <c r="Y3" s="3" t="n">
        <v>0</v>
      </c>
      <c r="Z3" s="3" t="n">
        <v>12805</v>
      </c>
      <c r="AA3" s="3" t="n">
        <v>12960</v>
      </c>
      <c r="AB3" s="3">
        <f>GBlackScholes(P3,Z3,L3,S3/245,X3,Y3,R3)</f>
        <v/>
      </c>
      <c r="AC3" s="3">
        <f>GBlackScholes(P3,AA3,L3,(S3+1)/245,X3,Y3,R3)</f>
        <v/>
      </c>
      <c r="AD3" s="3">
        <f>IF(I3="卖出",(AB3-AC3)*K3,(AC3-AB3)*K3)</f>
        <v/>
      </c>
      <c r="AE3" s="3" t="n">
        <v>132</v>
      </c>
      <c r="AF3" s="3" t="s">
        <v>54</v>
      </c>
      <c r="AG3" s="3">
        <f>AB3</f>
        <v/>
      </c>
      <c r="AH3" s="3" t="n">
        <v>1</v>
      </c>
      <c r="AI3" s="3">
        <f>(AG3-N3)*K3*AH3</f>
        <v/>
      </c>
    </row>
    <row customHeight="1" ht="20" r="4" s="1" spans="1:35">
      <c r="A4" s="3" t="s">
        <v>49</v>
      </c>
      <c r="B4" s="3" t="s">
        <v>50</v>
      </c>
      <c r="C4" s="3" t="s">
        <v>37</v>
      </c>
      <c r="D4" s="7" t="s">
        <v>51</v>
      </c>
      <c r="E4" s="3" t="s">
        <v>52</v>
      </c>
      <c r="F4" s="17" t="n">
        <v>43755</v>
      </c>
      <c r="G4" s="17" t="n">
        <v>43941</v>
      </c>
      <c r="H4" s="3" t="s">
        <v>53</v>
      </c>
      <c r="I4" s="3" t="s">
        <v>41</v>
      </c>
      <c r="J4" s="3" t="s">
        <v>42</v>
      </c>
      <c r="K4" s="3" t="n">
        <v>1000</v>
      </c>
      <c r="L4" s="3" t="n">
        <v>10500</v>
      </c>
      <c r="M4" s="3" t="n">
        <v>11735</v>
      </c>
      <c r="N4" s="3" t="n">
        <v>160.376</v>
      </c>
      <c r="O4" s="3">
        <f>N4*K4</f>
        <v/>
      </c>
      <c r="P4" s="3" t="s">
        <v>43</v>
      </c>
      <c r="Q4" s="3" t="s">
        <v>44</v>
      </c>
      <c r="R4" s="6" t="n">
        <v>0.185</v>
      </c>
      <c r="S4" s="3" t="n">
        <v>71</v>
      </c>
      <c r="T4" s="3" t="s">
        <v>45</v>
      </c>
      <c r="U4" s="17" t="n">
        <v>43941</v>
      </c>
      <c r="V4" s="3" t="s">
        <v>46</v>
      </c>
      <c r="W4" s="3" t="s">
        <v>47</v>
      </c>
      <c r="X4" s="6" t="n">
        <v>0.045</v>
      </c>
      <c r="Y4" s="3" t="n">
        <v>0</v>
      </c>
      <c r="Z4" s="3" t="n">
        <v>12805</v>
      </c>
      <c r="AA4" s="3" t="n">
        <v>12960</v>
      </c>
      <c r="AB4" s="3">
        <f>GBlackScholes(P4,Z4,L4,S4/245,X4,Y4,R4)</f>
        <v/>
      </c>
      <c r="AC4" s="3">
        <f>GBlackScholes(P4,AA4,L4,(S4+1)/245,X4,Y4,R4)</f>
        <v/>
      </c>
      <c r="AD4" s="3">
        <f>IF(I4="卖出",(AB4-AC4)*K4,(AC4-AB4)*K4)</f>
        <v/>
      </c>
      <c r="AE4" s="3" t="n">
        <v>135</v>
      </c>
      <c r="AF4" s="3" t="s">
        <v>55</v>
      </c>
      <c r="AG4" s="3">
        <f>AB4</f>
        <v/>
      </c>
      <c r="AH4" s="3" t="n">
        <v>1</v>
      </c>
      <c r="AI4" s="3">
        <f>(AG4-N4)*K4*AH4</f>
        <v/>
      </c>
    </row>
    <row customHeight="1" ht="20" r="5" s="1" spans="1:35">
      <c r="A5" s="3" t="s">
        <v>49</v>
      </c>
      <c r="B5" s="3" t="s">
        <v>36</v>
      </c>
      <c r="C5" s="3" t="s">
        <v>37</v>
      </c>
      <c r="D5" s="7" t="s">
        <v>56</v>
      </c>
      <c r="E5" s="3" t="s">
        <v>39</v>
      </c>
      <c r="F5" s="17" t="n">
        <v>43766</v>
      </c>
      <c r="G5" s="17" t="n">
        <v>43850</v>
      </c>
      <c r="H5" s="3" t="s">
        <v>57</v>
      </c>
      <c r="I5" s="3" t="s">
        <v>58</v>
      </c>
      <c r="J5" s="3" t="s">
        <v>59</v>
      </c>
      <c r="K5" s="3" t="n">
        <v>1500</v>
      </c>
      <c r="L5" s="3" t="n">
        <v>2916</v>
      </c>
      <c r="M5" s="3" t="n">
        <v>2916</v>
      </c>
      <c r="N5" s="3" t="n">
        <v>137.34</v>
      </c>
      <c r="O5" s="3">
        <f>N5*K5</f>
        <v/>
      </c>
      <c r="P5" s="3" t="s">
        <v>60</v>
      </c>
      <c r="Q5" s="3" t="s">
        <v>61</v>
      </c>
      <c r="R5" s="6" t="n">
        <v>0.242</v>
      </c>
      <c r="S5" s="3" t="n">
        <v>12</v>
      </c>
      <c r="T5" s="3" t="s">
        <v>45</v>
      </c>
      <c r="U5" s="17" t="n">
        <v>43850</v>
      </c>
      <c r="V5" s="3" t="s">
        <v>46</v>
      </c>
      <c r="W5" s="3" t="s">
        <v>47</v>
      </c>
      <c r="X5" s="6" t="n">
        <v>0.045</v>
      </c>
      <c r="Y5" s="3" t="n">
        <v>0</v>
      </c>
      <c r="Z5" s="3" t="n">
        <v>3202</v>
      </c>
      <c r="AA5" s="3" t="n">
        <v>3188</v>
      </c>
      <c r="AB5" s="3">
        <f>GBlackScholes(P5,Z5,L5,S5/245,X5,Y5,R5)</f>
        <v/>
      </c>
      <c r="AC5" s="3">
        <f>GBlackScholes(P5,AA5,L5,(S5+1)/245,X5,Y5,R5)</f>
        <v/>
      </c>
      <c r="AD5" s="3">
        <f>IF(I5="卖出",(AB5-AC5)*K5,(AC5-AB5)*K5)</f>
        <v/>
      </c>
      <c r="AE5" s="3" t="n">
        <v>151</v>
      </c>
      <c r="AF5" s="3" t="s">
        <v>62</v>
      </c>
      <c r="AG5" s="3">
        <f>AB5</f>
        <v/>
      </c>
      <c r="AH5" s="3" t="n">
        <v>-1</v>
      </c>
      <c r="AI5" s="3">
        <f>(AG5-N5)*K5*AH5</f>
        <v/>
      </c>
    </row>
    <row customHeight="1" ht="20" r="6" s="1" spans="1:35">
      <c r="A6" s="3" t="s">
        <v>49</v>
      </c>
      <c r="B6" s="3" t="s">
        <v>36</v>
      </c>
      <c r="C6" s="3" t="s">
        <v>37</v>
      </c>
      <c r="D6" s="7" t="s">
        <v>56</v>
      </c>
      <c r="E6" s="3" t="s">
        <v>39</v>
      </c>
      <c r="F6" s="17" t="n">
        <v>43766</v>
      </c>
      <c r="G6" s="17" t="n">
        <v>43850</v>
      </c>
      <c r="H6" s="3" t="s">
        <v>57</v>
      </c>
      <c r="I6" s="3" t="s">
        <v>58</v>
      </c>
      <c r="J6" s="3" t="s">
        <v>63</v>
      </c>
      <c r="K6" s="3" t="n">
        <v>1500</v>
      </c>
      <c r="L6" s="3" t="n">
        <v>2916</v>
      </c>
      <c r="M6" s="3" t="n">
        <v>2916</v>
      </c>
      <c r="N6" s="3" t="n">
        <v>137.34</v>
      </c>
      <c r="O6" s="3">
        <f>N6*K6</f>
        <v/>
      </c>
      <c r="P6" s="3" t="s">
        <v>43</v>
      </c>
      <c r="Q6" s="3" t="s">
        <v>61</v>
      </c>
      <c r="R6" s="6" t="n">
        <v>0.242</v>
      </c>
      <c r="S6" s="3" t="n">
        <v>12</v>
      </c>
      <c r="T6" s="3" t="s">
        <v>45</v>
      </c>
      <c r="U6" s="17" t="n">
        <v>43850</v>
      </c>
      <c r="V6" s="3" t="s">
        <v>46</v>
      </c>
      <c r="W6" s="3" t="s">
        <v>47</v>
      </c>
      <c r="X6" s="6" t="n">
        <v>0.045</v>
      </c>
      <c r="Y6" s="3" t="n">
        <v>0</v>
      </c>
      <c r="Z6" s="3" t="n">
        <v>3202</v>
      </c>
      <c r="AA6" s="3" t="n">
        <v>3188</v>
      </c>
      <c r="AB6" s="3">
        <f>GBlackScholes(P6,Z6,L6,S6/245,X6,Y6,R6)</f>
        <v/>
      </c>
      <c r="AC6" s="3">
        <f>GBlackScholes(P6,AA6,L6,(S6+1)/245,X6,Y6,R6)</f>
        <v/>
      </c>
      <c r="AD6" s="3">
        <f>IF(I6="卖出",(AB6-AC6)*K6,(AC6-AB6)*K6)</f>
        <v/>
      </c>
      <c r="AE6" s="3" t="n">
        <v>151</v>
      </c>
      <c r="AF6" s="3" t="s">
        <v>62</v>
      </c>
      <c r="AG6" s="3">
        <f>AB6</f>
        <v/>
      </c>
      <c r="AH6" s="3" t="n">
        <v>-1</v>
      </c>
      <c r="AI6" s="3">
        <f>(AG6-N6)*K6*AH6</f>
        <v/>
      </c>
    </row>
    <row customHeight="1" ht="20" r="7" s="1" spans="1:35">
      <c r="A7" s="3" t="s">
        <v>49</v>
      </c>
      <c r="B7" s="3" t="s">
        <v>36</v>
      </c>
      <c r="C7" s="3" t="s">
        <v>37</v>
      </c>
      <c r="D7" s="7" t="s">
        <v>38</v>
      </c>
      <c r="E7" s="3" t="s">
        <v>39</v>
      </c>
      <c r="F7" s="17" t="n">
        <v>43766</v>
      </c>
      <c r="G7" s="17" t="n">
        <v>43850</v>
      </c>
      <c r="H7" s="3" t="s">
        <v>57</v>
      </c>
      <c r="I7" s="3" t="s">
        <v>41</v>
      </c>
      <c r="J7" s="3" t="s">
        <v>64</v>
      </c>
      <c r="K7" s="3" t="n">
        <v>1500</v>
      </c>
      <c r="L7" s="3" t="n">
        <v>2916</v>
      </c>
      <c r="M7" s="3" t="n">
        <v>2916</v>
      </c>
      <c r="N7" s="3" t="n">
        <v>132.68</v>
      </c>
      <c r="O7" s="3">
        <f>N7*K7</f>
        <v/>
      </c>
      <c r="P7" s="3" t="s">
        <v>60</v>
      </c>
      <c r="Q7" s="3" t="s">
        <v>44</v>
      </c>
      <c r="R7" s="6" t="n">
        <v>0.233</v>
      </c>
      <c r="S7" s="3" t="n">
        <v>12</v>
      </c>
      <c r="T7" s="3" t="s">
        <v>45</v>
      </c>
      <c r="U7" s="17" t="n">
        <v>43850</v>
      </c>
      <c r="V7" s="3" t="s">
        <v>46</v>
      </c>
      <c r="W7" s="3" t="s">
        <v>47</v>
      </c>
      <c r="X7" s="6" t="n">
        <v>0.045</v>
      </c>
      <c r="Y7" s="3" t="n">
        <v>0</v>
      </c>
      <c r="Z7" s="3" t="n">
        <v>3202</v>
      </c>
      <c r="AA7" s="3" t="n">
        <v>3188</v>
      </c>
      <c r="AB7" s="3">
        <f>GBlackScholes(P7,Z7,L7,S7/245,X7,Y7,R7)</f>
        <v/>
      </c>
      <c r="AC7" s="3">
        <f>GBlackScholes(P7,AA7,L7,(S7+1)/245,X7,Y7,R7)</f>
        <v/>
      </c>
      <c r="AD7" s="3">
        <f>IF(I7="卖出",(AB7-AC7)*K7,(AC7-AB7)*K7)</f>
        <v/>
      </c>
      <c r="AE7" s="3" t="n">
        <v>152</v>
      </c>
      <c r="AF7" s="3" t="s">
        <v>65</v>
      </c>
      <c r="AG7" s="3">
        <f>AB7</f>
        <v/>
      </c>
      <c r="AH7" s="3" t="n">
        <v>1</v>
      </c>
      <c r="AI7" s="3">
        <f>(AG7-N7)*K7*AH7</f>
        <v/>
      </c>
    </row>
    <row customHeight="1" ht="20" r="8" s="1" spans="1:35">
      <c r="A8" s="3" t="s">
        <v>49</v>
      </c>
      <c r="B8" s="3" t="s">
        <v>36</v>
      </c>
      <c r="C8" s="3" t="s">
        <v>37</v>
      </c>
      <c r="D8" s="7" t="s">
        <v>38</v>
      </c>
      <c r="E8" s="3" t="s">
        <v>39</v>
      </c>
      <c r="F8" s="17" t="n">
        <v>43766</v>
      </c>
      <c r="G8" s="17" t="n">
        <v>43850</v>
      </c>
      <c r="H8" s="3" t="s">
        <v>57</v>
      </c>
      <c r="I8" s="3" t="s">
        <v>41</v>
      </c>
      <c r="J8" s="3" t="s">
        <v>42</v>
      </c>
      <c r="K8" s="3" t="n">
        <v>1500</v>
      </c>
      <c r="L8" s="3" t="n">
        <v>2916</v>
      </c>
      <c r="M8" s="3" t="n">
        <v>2916</v>
      </c>
      <c r="N8" s="3" t="n">
        <v>132.68</v>
      </c>
      <c r="O8" s="3">
        <f>N8*K8</f>
        <v/>
      </c>
      <c r="P8" s="3" t="s">
        <v>43</v>
      </c>
      <c r="Q8" s="3" t="s">
        <v>44</v>
      </c>
      <c r="R8" s="6" t="n">
        <v>0.233</v>
      </c>
      <c r="S8" s="3" t="n">
        <v>12</v>
      </c>
      <c r="T8" s="3" t="s">
        <v>45</v>
      </c>
      <c r="U8" s="17" t="n">
        <v>43850</v>
      </c>
      <c r="V8" s="3" t="s">
        <v>46</v>
      </c>
      <c r="W8" s="3" t="s">
        <v>47</v>
      </c>
      <c r="X8" s="6" t="n">
        <v>0.045</v>
      </c>
      <c r="Y8" s="3" t="n">
        <v>0</v>
      </c>
      <c r="Z8" s="3" t="n">
        <v>3202</v>
      </c>
      <c r="AA8" s="3" t="n">
        <v>3188</v>
      </c>
      <c r="AB8" s="3">
        <f>GBlackScholes(P8,Z8,L8,S8/245,X8,Y8,R8)</f>
        <v/>
      </c>
      <c r="AC8" s="3">
        <f>GBlackScholes(P8,AA8,L8,(S8+1)/245,X8,Y8,R8)</f>
        <v/>
      </c>
      <c r="AD8" s="3">
        <f>IF(I8="卖出",(AB8-AC8)*K8,(AC8-AB8)*K8)</f>
        <v/>
      </c>
      <c r="AE8" s="3" t="n">
        <v>152</v>
      </c>
      <c r="AF8" s="3" t="s">
        <v>65</v>
      </c>
      <c r="AG8" s="3">
        <f>AB8</f>
        <v/>
      </c>
      <c r="AH8" s="3" t="n">
        <v>1</v>
      </c>
      <c r="AI8" s="3">
        <f>(AG8-N8)*K8*AH8</f>
        <v/>
      </c>
    </row>
    <row customHeight="1" ht="20" r="9" s="1" spans="1:35">
      <c r="A9" s="8" t="s">
        <v>49</v>
      </c>
      <c r="B9" s="8" t="n"/>
      <c r="C9" s="8" t="s">
        <v>37</v>
      </c>
      <c r="D9" s="8" t="s">
        <v>66</v>
      </c>
      <c r="E9" s="8" t="s">
        <v>39</v>
      </c>
      <c r="F9" s="18" t="n">
        <v>43780</v>
      </c>
      <c r="G9" s="18" t="n">
        <v>43872</v>
      </c>
      <c r="H9" s="8" t="s">
        <v>67</v>
      </c>
      <c r="I9" s="8" t="s">
        <v>41</v>
      </c>
      <c r="J9" s="8" t="s">
        <v>68</v>
      </c>
      <c r="K9" s="8" t="n"/>
      <c r="L9" s="8" t="n"/>
      <c r="M9" s="8" t="n">
        <v>13825</v>
      </c>
      <c r="N9" s="8" t="n"/>
      <c r="O9" s="8">
        <f>N9*K9</f>
        <v/>
      </c>
      <c r="P9" s="8" t="s">
        <v>43</v>
      </c>
      <c r="Q9" s="8" t="s">
        <v>44</v>
      </c>
      <c r="R9" s="10" t="n"/>
      <c r="S9" s="8" t="n">
        <v>23</v>
      </c>
      <c r="T9" s="8" t="s">
        <v>45</v>
      </c>
      <c r="U9" s="18" t="n">
        <v>43872</v>
      </c>
      <c r="V9" s="8" t="s">
        <v>46</v>
      </c>
      <c r="W9" s="8" t="s">
        <v>47</v>
      </c>
      <c r="X9" s="10" t="n">
        <v>0.045</v>
      </c>
      <c r="Y9" s="8" t="n">
        <v>0</v>
      </c>
      <c r="Z9" s="8" t="n">
        <v>14030</v>
      </c>
      <c r="AA9" s="8" t="n">
        <v>14045</v>
      </c>
      <c r="AB9" s="8" t="n"/>
      <c r="AC9" s="8" t="n"/>
      <c r="AD9" s="8">
        <f>IF(I9="卖出",(AB9-AC9)*K9,(AC9-AB9)*K9)</f>
        <v/>
      </c>
      <c r="AE9" s="3" t="n">
        <v>179</v>
      </c>
      <c r="AF9" s="3" t="s">
        <v>69</v>
      </c>
      <c r="AG9" s="8">
        <f>AB9</f>
        <v/>
      </c>
      <c r="AH9" s="3" t="n">
        <v>1</v>
      </c>
      <c r="AI9" s="3">
        <f>(AG9-N9)*K9*AH9</f>
        <v/>
      </c>
    </row>
    <row customHeight="1" ht="20" r="10" s="1" spans="1:35">
      <c r="A10" s="8" t="s">
        <v>49</v>
      </c>
      <c r="B10" s="8" t="n"/>
      <c r="C10" s="8" t="s">
        <v>37</v>
      </c>
      <c r="D10" s="8" t="s">
        <v>66</v>
      </c>
      <c r="E10" s="8" t="s">
        <v>39</v>
      </c>
      <c r="F10" s="18" t="n">
        <v>43780</v>
      </c>
      <c r="G10" s="18" t="n">
        <v>43872</v>
      </c>
      <c r="H10" s="8" t="s">
        <v>70</v>
      </c>
      <c r="I10" s="8" t="s">
        <v>58</v>
      </c>
      <c r="J10" s="8" t="s">
        <v>68</v>
      </c>
      <c r="K10" s="8" t="n"/>
      <c r="L10" s="8" t="n"/>
      <c r="M10" s="8" t="n">
        <v>13845</v>
      </c>
      <c r="N10" s="8" t="n"/>
      <c r="O10" s="8">
        <f>N10*K10</f>
        <v/>
      </c>
      <c r="P10" s="8" t="s">
        <v>43</v>
      </c>
      <c r="Q10" s="8" t="s">
        <v>61</v>
      </c>
      <c r="R10" s="10" t="n"/>
      <c r="S10" s="8" t="n">
        <v>23</v>
      </c>
      <c r="T10" s="8" t="s">
        <v>45</v>
      </c>
      <c r="U10" s="18" t="n">
        <v>43872</v>
      </c>
      <c r="V10" s="8" t="s">
        <v>46</v>
      </c>
      <c r="W10" s="8" t="s">
        <v>47</v>
      </c>
      <c r="X10" s="10" t="n">
        <v>0.045</v>
      </c>
      <c r="Y10" s="8" t="n">
        <v>0</v>
      </c>
      <c r="Z10" s="8" t="n">
        <v>14010</v>
      </c>
      <c r="AA10" s="8" t="n">
        <v>14020</v>
      </c>
      <c r="AB10" s="8" t="n"/>
      <c r="AC10" s="8" t="n"/>
      <c r="AD10" s="8">
        <f>IF(I10="卖出",(AB10-AC10)*K10,(AC10-AB10)*K10)</f>
        <v/>
      </c>
      <c r="AE10" s="3" t="n">
        <v>180</v>
      </c>
      <c r="AF10" s="3" t="s">
        <v>71</v>
      </c>
      <c r="AG10" s="8">
        <f>AB10</f>
        <v/>
      </c>
      <c r="AH10" s="3" t="n">
        <v>-1</v>
      </c>
      <c r="AI10" s="3">
        <f>(AG10-N10)*K10*AH10</f>
        <v/>
      </c>
    </row>
    <row customHeight="1" ht="20" r="11" s="1" spans="1:35">
      <c r="A11" s="3" t="s">
        <v>49</v>
      </c>
      <c r="B11" s="3" t="s">
        <v>50</v>
      </c>
      <c r="C11" s="3" t="s">
        <v>37</v>
      </c>
      <c r="D11" s="7" t="s">
        <v>51</v>
      </c>
      <c r="E11" s="3" t="s">
        <v>52</v>
      </c>
      <c r="F11" s="17" t="n">
        <v>43787</v>
      </c>
      <c r="G11" s="17" t="n">
        <v>43941</v>
      </c>
      <c r="H11" s="3" t="s">
        <v>53</v>
      </c>
      <c r="I11" s="3" t="s">
        <v>41</v>
      </c>
      <c r="J11" s="3" t="s">
        <v>42</v>
      </c>
      <c r="K11" s="3" t="n">
        <v>1000</v>
      </c>
      <c r="L11" s="3" t="n">
        <v>11200</v>
      </c>
      <c r="M11" s="3" t="n">
        <v>12105</v>
      </c>
      <c r="N11" s="3" t="n">
        <v>185</v>
      </c>
      <c r="O11" s="3">
        <f>N11*K11</f>
        <v/>
      </c>
      <c r="P11" s="3" t="s">
        <v>43</v>
      </c>
      <c r="Q11" s="3" t="s">
        <v>44</v>
      </c>
      <c r="R11" s="6" t="n">
        <v>0.172</v>
      </c>
      <c r="S11" s="3" t="n">
        <v>71</v>
      </c>
      <c r="T11" s="3" t="s">
        <v>45</v>
      </c>
      <c r="U11" s="17" t="n">
        <v>43941</v>
      </c>
      <c r="V11" s="3" t="s">
        <v>46</v>
      </c>
      <c r="W11" s="3" t="s">
        <v>47</v>
      </c>
      <c r="X11" s="6" t="n">
        <v>0.045</v>
      </c>
      <c r="Y11" s="3" t="n">
        <v>0</v>
      </c>
      <c r="Z11" s="3" t="n">
        <v>12805</v>
      </c>
      <c r="AA11" s="3" t="n">
        <v>12960</v>
      </c>
      <c r="AB11" s="3">
        <f>GBlackScholes(P11,Z11,L11,S11/245,X11,Y11,R11)</f>
        <v/>
      </c>
      <c r="AC11" s="3">
        <f>GBlackScholes(P11,AA11,L11,(S11+1)/245,X11,Y11,R11)</f>
        <v/>
      </c>
      <c r="AD11" s="3">
        <f>IF(I11="卖出",(AB11-AC11)*K11,(AC11-AB11)*K11)</f>
        <v/>
      </c>
      <c r="AE11" s="3" t="n">
        <v>185</v>
      </c>
      <c r="AF11" s="3" t="s">
        <v>72</v>
      </c>
      <c r="AG11" s="3">
        <f>AB11</f>
        <v/>
      </c>
      <c r="AH11" s="3" t="n">
        <v>1</v>
      </c>
      <c r="AI11" s="3">
        <f>(AG11-N11)*K11*AH11</f>
        <v/>
      </c>
    </row>
    <row customHeight="1" ht="20" r="12" s="1" spans="1:35">
      <c r="A12" s="3" t="s">
        <v>49</v>
      </c>
      <c r="B12" s="3" t="s">
        <v>50</v>
      </c>
      <c r="C12" s="3" t="s">
        <v>37</v>
      </c>
      <c r="D12" s="7" t="s">
        <v>73</v>
      </c>
      <c r="E12" s="3" t="s">
        <v>52</v>
      </c>
      <c r="F12" s="17" t="n">
        <v>43789</v>
      </c>
      <c r="G12" s="17" t="n">
        <v>43903</v>
      </c>
      <c r="H12" s="3" t="s">
        <v>57</v>
      </c>
      <c r="I12" s="3" t="s">
        <v>41</v>
      </c>
      <c r="J12" s="3" t="s">
        <v>64</v>
      </c>
      <c r="K12" s="3" t="n">
        <v>1500</v>
      </c>
      <c r="L12" s="3" t="n">
        <v>2948.4</v>
      </c>
      <c r="M12" s="3" t="n">
        <v>2808</v>
      </c>
      <c r="N12" s="3" t="n">
        <v>88</v>
      </c>
      <c r="O12" s="3">
        <f>N12*K12</f>
        <v/>
      </c>
      <c r="P12" s="3" t="s">
        <v>60</v>
      </c>
      <c r="Q12" s="3" t="s">
        <v>44</v>
      </c>
      <c r="R12" s="6" t="n">
        <v>0.233</v>
      </c>
      <c r="S12" s="3" t="n">
        <v>46</v>
      </c>
      <c r="T12" s="3" t="s">
        <v>45</v>
      </c>
      <c r="U12" s="17" t="n">
        <v>43903</v>
      </c>
      <c r="V12" s="3" t="s">
        <v>46</v>
      </c>
      <c r="W12" s="3" t="s">
        <v>47</v>
      </c>
      <c r="X12" s="6" t="n">
        <v>0.045</v>
      </c>
      <c r="Y12" s="3" t="n">
        <v>0</v>
      </c>
      <c r="Z12" s="3" t="n">
        <v>3202</v>
      </c>
      <c r="AA12" s="3" t="n">
        <v>3188</v>
      </c>
      <c r="AB12" s="3">
        <f>GBlackScholes(P12,Z12,L12,S12/245,X12,Y12,R12)</f>
        <v/>
      </c>
      <c r="AC12" s="3">
        <f>GBlackScholes(P12,AA12,L12,(S12+1)/245,X12,Y12,R12)</f>
        <v/>
      </c>
      <c r="AD12" s="3">
        <f>IF(I12="卖出",(AB12-AC12)*K12,(AC12-AB12)*K12)</f>
        <v/>
      </c>
      <c r="AE12" s="3" t="n">
        <v>187</v>
      </c>
      <c r="AF12" s="3" t="s">
        <v>74</v>
      </c>
      <c r="AG12" s="3">
        <f>AB12</f>
        <v/>
      </c>
      <c r="AH12" s="3" t="n">
        <v>1</v>
      </c>
      <c r="AI12" s="3">
        <f>(AG12-N12)*K12*AH12</f>
        <v/>
      </c>
    </row>
    <row customHeight="1" ht="20" r="13" s="1" spans="1:35">
      <c r="A13" s="3" t="s">
        <v>49</v>
      </c>
      <c r="B13" s="3" t="s">
        <v>50</v>
      </c>
      <c r="C13" s="3" t="s">
        <v>37</v>
      </c>
      <c r="D13" s="7" t="s">
        <v>73</v>
      </c>
      <c r="E13" s="3" t="s">
        <v>52</v>
      </c>
      <c r="F13" s="17" t="n">
        <v>43789</v>
      </c>
      <c r="G13" s="17" t="n">
        <v>43903</v>
      </c>
      <c r="H13" s="3" t="s">
        <v>57</v>
      </c>
      <c r="I13" s="3" t="s">
        <v>41</v>
      </c>
      <c r="J13" s="3" t="s">
        <v>42</v>
      </c>
      <c r="K13" s="3" t="n">
        <v>1500</v>
      </c>
      <c r="L13" s="3" t="n">
        <v>2667.6</v>
      </c>
      <c r="M13" s="3" t="n">
        <v>2808</v>
      </c>
      <c r="N13" s="3" t="n">
        <v>82</v>
      </c>
      <c r="O13" s="3">
        <f>N13*K13</f>
        <v/>
      </c>
      <c r="P13" s="3" t="s">
        <v>43</v>
      </c>
      <c r="Q13" s="3" t="s">
        <v>44</v>
      </c>
      <c r="R13" s="6" t="n">
        <v>0.233</v>
      </c>
      <c r="S13" s="3" t="n">
        <v>46</v>
      </c>
      <c r="T13" s="3" t="s">
        <v>45</v>
      </c>
      <c r="U13" s="17" t="n">
        <v>43903</v>
      </c>
      <c r="V13" s="3" t="s">
        <v>46</v>
      </c>
      <c r="W13" s="3" t="s">
        <v>47</v>
      </c>
      <c r="X13" s="6" t="n">
        <v>0.045</v>
      </c>
      <c r="Y13" s="3" t="n">
        <v>0</v>
      </c>
      <c r="Z13" s="3" t="n">
        <v>3202</v>
      </c>
      <c r="AA13" s="3" t="n">
        <v>3188</v>
      </c>
      <c r="AB13" s="3">
        <f>GBlackScholes(P13,Z13,L13,S13/245,X13,Y13,R13)</f>
        <v/>
      </c>
      <c r="AC13" s="3">
        <f>GBlackScholes(P13,AA13,L13,(S13+1)/245,X13,Y13,R13)</f>
        <v/>
      </c>
      <c r="AD13" s="3">
        <f>IF(I13="卖出",(AB13-AC13)*K13,(AC13-AB13)*K13)</f>
        <v/>
      </c>
      <c r="AE13" s="3" t="n">
        <v>187</v>
      </c>
      <c r="AF13" s="3" t="s">
        <v>74</v>
      </c>
      <c r="AG13" s="3">
        <f>AB13</f>
        <v/>
      </c>
      <c r="AH13" s="3" t="n">
        <v>1</v>
      </c>
      <c r="AI13" s="3">
        <f>(AG13-N13)*K13*AH13</f>
        <v/>
      </c>
    </row>
    <row customHeight="1" ht="20" r="14" s="1" spans="1:35">
      <c r="A14" s="3" t="s">
        <v>75</v>
      </c>
      <c r="B14" s="3" t="s">
        <v>50</v>
      </c>
      <c r="C14" s="3" t="s">
        <v>37</v>
      </c>
      <c r="D14" s="11" t="s">
        <v>76</v>
      </c>
      <c r="E14" s="3" t="s">
        <v>52</v>
      </c>
      <c r="F14" s="17" t="n">
        <v>43801</v>
      </c>
      <c r="G14" s="17" t="n">
        <v>43850</v>
      </c>
      <c r="H14" s="3" t="s">
        <v>77</v>
      </c>
      <c r="I14" s="3" t="s">
        <v>41</v>
      </c>
      <c r="J14" s="3" t="s">
        <v>42</v>
      </c>
      <c r="K14" s="3" t="n">
        <v>2000</v>
      </c>
      <c r="L14" s="3" t="n">
        <v>3320</v>
      </c>
      <c r="M14" s="3" t="n">
        <v>3425</v>
      </c>
      <c r="N14" s="3" t="n">
        <v>38</v>
      </c>
      <c r="O14" s="3">
        <f>N14*K14</f>
        <v/>
      </c>
      <c r="P14" s="3" t="s">
        <v>43</v>
      </c>
      <c r="Q14" s="3" t="s">
        <v>44</v>
      </c>
      <c r="R14" s="6" t="n">
        <v>0.16</v>
      </c>
      <c r="S14" s="3" t="n">
        <v>12</v>
      </c>
      <c r="T14" s="3" t="s">
        <v>45</v>
      </c>
      <c r="U14" s="17" t="n">
        <v>43850</v>
      </c>
      <c r="V14" s="3" t="s">
        <v>46</v>
      </c>
      <c r="W14" s="3" t="s">
        <v>47</v>
      </c>
      <c r="X14" s="6" t="n">
        <v>0.045</v>
      </c>
      <c r="Y14" s="3" t="n">
        <v>0</v>
      </c>
      <c r="Z14" s="3" t="n">
        <v>3547</v>
      </c>
      <c r="AA14" s="3" t="n">
        <v>3569</v>
      </c>
      <c r="AB14" s="3">
        <f>GBlackScholes(P14,Z14,L14,S14/245,X14,Y14,R14)</f>
        <v/>
      </c>
      <c r="AC14" s="3">
        <f>GBlackScholes(P14,AA14,L14,(S14+1)/245,X14,Y14,R14)</f>
        <v/>
      </c>
      <c r="AD14" s="3">
        <f>IF(I14="卖出",(AB14-AC14)*K14,(AC14-AB14)*K14)</f>
        <v/>
      </c>
      <c r="AE14" s="3" t="n">
        <v>205</v>
      </c>
      <c r="AF14" s="3" t="s">
        <v>78</v>
      </c>
      <c r="AG14" s="3">
        <f>AB14</f>
        <v/>
      </c>
      <c r="AH14" s="3" t="n">
        <v>1</v>
      </c>
      <c r="AI14" s="3">
        <f>(AG14-N14)*K14*AH14</f>
        <v/>
      </c>
    </row>
    <row customHeight="1" ht="20" r="15" s="1" spans="1:35">
      <c r="A15" s="3" t="s">
        <v>75</v>
      </c>
      <c r="B15" s="3" t="s">
        <v>50</v>
      </c>
      <c r="C15" s="3" t="s">
        <v>37</v>
      </c>
      <c r="D15" s="11" t="s">
        <v>56</v>
      </c>
      <c r="E15" s="3" t="s">
        <v>39</v>
      </c>
      <c r="F15" s="17" t="n">
        <v>43802</v>
      </c>
      <c r="G15" s="17" t="n">
        <v>43850</v>
      </c>
      <c r="H15" s="3" t="s">
        <v>77</v>
      </c>
      <c r="I15" s="3" t="s">
        <v>58</v>
      </c>
      <c r="J15" s="3" t="s">
        <v>63</v>
      </c>
      <c r="K15" s="3" t="n">
        <v>2000</v>
      </c>
      <c r="L15" s="3" t="n">
        <v>3433</v>
      </c>
      <c r="M15" s="3" t="n">
        <v>3433</v>
      </c>
      <c r="N15" s="3" t="n">
        <v>85.14</v>
      </c>
      <c r="O15" s="3">
        <f>N15*K15</f>
        <v/>
      </c>
      <c r="P15" s="3" t="s">
        <v>43</v>
      </c>
      <c r="Q15" s="3" t="s">
        <v>61</v>
      </c>
      <c r="R15" s="6" t="n">
        <v>0.1685</v>
      </c>
      <c r="S15" s="3" t="n">
        <v>12</v>
      </c>
      <c r="T15" s="3" t="s">
        <v>45</v>
      </c>
      <c r="U15" s="17" t="n">
        <v>43850</v>
      </c>
      <c r="V15" s="3" t="s">
        <v>46</v>
      </c>
      <c r="W15" s="3" t="s">
        <v>47</v>
      </c>
      <c r="X15" s="6" t="n">
        <v>0.045</v>
      </c>
      <c r="Y15" s="3" t="n">
        <v>0</v>
      </c>
      <c r="Z15" s="3" t="n">
        <v>3547</v>
      </c>
      <c r="AA15" s="3" t="n">
        <v>3569</v>
      </c>
      <c r="AB15" s="3">
        <f>GBlackScholes(P15,Z15,L15,S15/245,X15,Y15,R15)</f>
        <v/>
      </c>
      <c r="AC15" s="3">
        <f>GBlackScholes(P15,AA15,L15,(S15+1)/245,X15,Y15,R15)</f>
        <v/>
      </c>
      <c r="AD15" s="3">
        <f>IF(I15="卖出",(AB15-AC15)*K15,(AC15-AB15)*K15)</f>
        <v/>
      </c>
      <c r="AE15" s="3" t="n">
        <v>208</v>
      </c>
      <c r="AF15" s="3" t="s">
        <v>79</v>
      </c>
      <c r="AG15" s="3">
        <f>AB15</f>
        <v/>
      </c>
      <c r="AH15" s="3" t="n">
        <v>-1</v>
      </c>
      <c r="AI15" s="3">
        <f>(AG15-N15)*K15*AH15</f>
        <v/>
      </c>
    </row>
    <row customHeight="1" ht="20" r="16" s="1" spans="1:35">
      <c r="A16" s="3" t="s">
        <v>35</v>
      </c>
      <c r="B16" s="3" t="s">
        <v>50</v>
      </c>
      <c r="C16" s="3" t="s">
        <v>37</v>
      </c>
      <c r="D16" s="4" t="s">
        <v>80</v>
      </c>
      <c r="E16" s="3" t="s">
        <v>52</v>
      </c>
      <c r="F16" s="17" t="n">
        <v>43809</v>
      </c>
      <c r="G16" s="17" t="n">
        <v>43837</v>
      </c>
      <c r="H16" s="3" t="s">
        <v>81</v>
      </c>
      <c r="I16" s="3" t="s">
        <v>41</v>
      </c>
      <c r="J16" s="3" t="s">
        <v>64</v>
      </c>
      <c r="K16" s="3" t="n">
        <v>50</v>
      </c>
      <c r="L16" s="3" t="n">
        <v>50550</v>
      </c>
      <c r="M16" s="3" t="n">
        <v>48610</v>
      </c>
      <c r="N16" s="3">
        <f>403.5/2</f>
        <v/>
      </c>
      <c r="O16" s="3">
        <f>N16*K16</f>
        <v/>
      </c>
      <c r="P16" s="3" t="s">
        <v>60</v>
      </c>
      <c r="Q16" s="3" t="s">
        <v>44</v>
      </c>
      <c r="R16" s="6" t="n">
        <v>0.152</v>
      </c>
      <c r="S16" s="3" t="n">
        <v>3</v>
      </c>
      <c r="T16" s="3" t="s">
        <v>45</v>
      </c>
      <c r="U16" s="17" t="n">
        <v>43837</v>
      </c>
      <c r="V16" s="3" t="s">
        <v>46</v>
      </c>
      <c r="W16" s="3" t="s">
        <v>47</v>
      </c>
      <c r="X16" s="6" t="n">
        <v>0.045</v>
      </c>
      <c r="Y16" s="3" t="n">
        <v>0</v>
      </c>
      <c r="Z16" s="3" t="n">
        <v>49230</v>
      </c>
      <c r="AA16" s="3" t="n">
        <v>49150</v>
      </c>
      <c r="AB16" s="3">
        <f>GBlackScholes(P16,Z16,L16,S16/245,X16,Y16,R16)</f>
        <v/>
      </c>
      <c r="AC16" s="3">
        <f>GBlackScholes(P16,AA16,L16,(S16+1)/245,X16,Y16,R16)</f>
        <v/>
      </c>
      <c r="AD16" s="3">
        <f>IF(I16="卖出",(AB16-AC16)*K16,(AC16-AB16)*K16)</f>
        <v/>
      </c>
      <c r="AE16" s="3" t="n">
        <v>211</v>
      </c>
      <c r="AF16" s="3" t="s">
        <v>82</v>
      </c>
      <c r="AG16" s="3">
        <f>AB16</f>
        <v/>
      </c>
      <c r="AH16" s="3" t="n">
        <v>1</v>
      </c>
      <c r="AI16" s="3">
        <f>(AG16-N16)*K16*AH16</f>
        <v/>
      </c>
    </row>
    <row customHeight="1" ht="20" r="17" s="1" spans="1:35">
      <c r="A17" s="3" t="s">
        <v>35</v>
      </c>
      <c r="B17" s="3" t="s">
        <v>50</v>
      </c>
      <c r="C17" s="3" t="s">
        <v>37</v>
      </c>
      <c r="D17" s="4" t="s">
        <v>80</v>
      </c>
      <c r="E17" s="3" t="s">
        <v>52</v>
      </c>
      <c r="F17" s="17" t="n">
        <v>43809</v>
      </c>
      <c r="G17" s="17" t="n">
        <v>43837</v>
      </c>
      <c r="H17" s="3" t="s">
        <v>81</v>
      </c>
      <c r="I17" s="3" t="s">
        <v>41</v>
      </c>
      <c r="J17" s="3" t="s">
        <v>42</v>
      </c>
      <c r="K17" s="3" t="n">
        <v>50</v>
      </c>
      <c r="L17" s="3" t="n">
        <v>46670</v>
      </c>
      <c r="M17" s="3" t="n">
        <v>48610</v>
      </c>
      <c r="N17" s="3">
        <f>403.5/2</f>
        <v/>
      </c>
      <c r="O17" s="3">
        <f>N17*K17</f>
        <v/>
      </c>
      <c r="P17" s="3" t="s">
        <v>43</v>
      </c>
      <c r="Q17" s="3" t="s">
        <v>44</v>
      </c>
      <c r="R17" s="6" t="n">
        <v>0.152</v>
      </c>
      <c r="S17" s="3" t="n">
        <v>3</v>
      </c>
      <c r="T17" s="3" t="s">
        <v>45</v>
      </c>
      <c r="U17" s="17" t="n">
        <v>43837</v>
      </c>
      <c r="V17" s="3" t="s">
        <v>46</v>
      </c>
      <c r="W17" s="3" t="s">
        <v>47</v>
      </c>
      <c r="X17" s="6" t="n">
        <v>0.045</v>
      </c>
      <c r="Y17" s="3" t="n">
        <v>0</v>
      </c>
      <c r="Z17" s="3" t="n">
        <v>49230</v>
      </c>
      <c r="AA17" s="3" t="n">
        <v>49150</v>
      </c>
      <c r="AB17" s="3">
        <f>GBlackScholes(P17,Z17,L17,S17/245,X17,Y17,R17)</f>
        <v/>
      </c>
      <c r="AC17" s="3">
        <f>GBlackScholes(P17,AA17,L17,(S17+1)/245,X17,Y17,R17)</f>
        <v/>
      </c>
      <c r="AD17" s="3">
        <f>IF(I17="卖出",(AB17-AC17)*K17,(AC17-AB17)*K17)</f>
        <v/>
      </c>
      <c r="AE17" s="3" t="n">
        <v>211</v>
      </c>
      <c r="AF17" s="3" t="s">
        <v>82</v>
      </c>
      <c r="AG17" s="3">
        <f>AB17</f>
        <v/>
      </c>
      <c r="AH17" s="3" t="n">
        <v>1</v>
      </c>
      <c r="AI17" s="3">
        <f>(AG17-N17)*K17*AH17</f>
        <v/>
      </c>
    </row>
    <row customHeight="1" ht="20" r="18" s="1" spans="1:35">
      <c r="A18" s="3" t="s">
        <v>49</v>
      </c>
      <c r="B18" s="3" t="s">
        <v>50</v>
      </c>
      <c r="C18" s="3" t="s">
        <v>37</v>
      </c>
      <c r="D18" s="7" t="s">
        <v>83</v>
      </c>
      <c r="E18" s="3" t="s">
        <v>39</v>
      </c>
      <c r="F18" s="17" t="n">
        <v>43810</v>
      </c>
      <c r="G18" s="17" t="n">
        <v>43840</v>
      </c>
      <c r="H18" s="3" t="s">
        <v>84</v>
      </c>
      <c r="I18" s="3" t="s">
        <v>58</v>
      </c>
      <c r="J18" s="3" t="s">
        <v>64</v>
      </c>
      <c r="K18" s="3" t="n">
        <v>500</v>
      </c>
      <c r="L18" s="3" t="n">
        <v>6630</v>
      </c>
      <c r="M18" s="3" t="n">
        <v>6630</v>
      </c>
      <c r="N18" s="3" t="n">
        <v>104.09</v>
      </c>
      <c r="O18" s="3">
        <f>N18*K18</f>
        <v/>
      </c>
      <c r="P18" s="3" t="s">
        <v>60</v>
      </c>
      <c r="Q18" s="3" t="s">
        <v>61</v>
      </c>
      <c r="R18" s="6" t="n">
        <v>0.135</v>
      </c>
      <c r="S18" s="3" t="n">
        <v>6</v>
      </c>
      <c r="T18" s="3" t="s">
        <v>45</v>
      </c>
      <c r="U18" s="17" t="n">
        <v>43840</v>
      </c>
      <c r="V18" s="3" t="s">
        <v>46</v>
      </c>
      <c r="W18" s="3" t="s">
        <v>47</v>
      </c>
      <c r="X18" s="6" t="n">
        <v>0.045</v>
      </c>
      <c r="Y18" s="3" t="n">
        <v>0</v>
      </c>
      <c r="Z18" s="3" t="n">
        <v>6500</v>
      </c>
      <c r="AA18" s="3" t="n">
        <v>6525</v>
      </c>
      <c r="AB18" s="3">
        <f>GBlackScholes(P18,Z18,L18,S18/245,X18,Y18,R18)</f>
        <v/>
      </c>
      <c r="AC18" s="3">
        <f>GBlackScholes(P18,AA18,L18,(S18+1)/245,X18,Y18,R18)</f>
        <v/>
      </c>
      <c r="AD18" s="3">
        <f>IF(I18="卖出",(AB18-AC18)*K18,(AC18-AB18)*K18)</f>
        <v/>
      </c>
      <c r="AE18" s="3" t="n">
        <v>212</v>
      </c>
      <c r="AF18" s="3" t="s">
        <v>85</v>
      </c>
      <c r="AG18" s="3">
        <f>AB18</f>
        <v/>
      </c>
      <c r="AH18" s="3" t="n">
        <v>-1</v>
      </c>
      <c r="AI18" s="3">
        <f>(AG18-N18)*K18*AH18</f>
        <v/>
      </c>
    </row>
    <row customHeight="1" ht="20" r="19" s="1" spans="1:35">
      <c r="A19" s="3" t="s">
        <v>49</v>
      </c>
      <c r="B19" s="3" t="s">
        <v>50</v>
      </c>
      <c r="C19" s="3" t="s">
        <v>37</v>
      </c>
      <c r="D19" s="7" t="s">
        <v>83</v>
      </c>
      <c r="E19" s="3" t="s">
        <v>39</v>
      </c>
      <c r="F19" s="17" t="n">
        <v>43810</v>
      </c>
      <c r="G19" s="17" t="n">
        <v>43840</v>
      </c>
      <c r="H19" s="3" t="s">
        <v>84</v>
      </c>
      <c r="I19" s="3" t="s">
        <v>58</v>
      </c>
      <c r="J19" s="3" t="s">
        <v>42</v>
      </c>
      <c r="K19" s="3" t="n">
        <v>500</v>
      </c>
      <c r="L19" s="3" t="n">
        <v>6630</v>
      </c>
      <c r="M19" s="3" t="n">
        <v>6630</v>
      </c>
      <c r="N19" s="3" t="n">
        <v>104.09</v>
      </c>
      <c r="O19" s="3">
        <f>N19*K19</f>
        <v/>
      </c>
      <c r="P19" s="3" t="s">
        <v>43</v>
      </c>
      <c r="Q19" s="3" t="s">
        <v>61</v>
      </c>
      <c r="R19" s="6" t="n">
        <v>0.135</v>
      </c>
      <c r="S19" s="3" t="n">
        <v>6</v>
      </c>
      <c r="T19" s="3" t="s">
        <v>45</v>
      </c>
      <c r="U19" s="17" t="n">
        <v>43840</v>
      </c>
      <c r="V19" s="3" t="s">
        <v>46</v>
      </c>
      <c r="W19" s="3" t="s">
        <v>47</v>
      </c>
      <c r="X19" s="6" t="n">
        <v>0.045</v>
      </c>
      <c r="Y19" s="3" t="n">
        <v>0</v>
      </c>
      <c r="Z19" s="3" t="n">
        <v>6500</v>
      </c>
      <c r="AA19" s="3" t="n">
        <v>6525</v>
      </c>
      <c r="AB19" s="3">
        <f>GBlackScholes(P19,Z19,L19,S19/245,X19,Y19,R19)</f>
        <v/>
      </c>
      <c r="AC19" s="3">
        <f>GBlackScholes(P19,AA19,L19,(S19+1)/245,X19,Y19,R19)</f>
        <v/>
      </c>
      <c r="AD19" s="3">
        <f>IF(I19="卖出",(AB19-AC19)*K19,(AC19-AB19)*K19)</f>
        <v/>
      </c>
      <c r="AE19" s="3" t="n">
        <v>212</v>
      </c>
      <c r="AF19" s="3" t="s">
        <v>85</v>
      </c>
      <c r="AG19" s="3">
        <f>AB19</f>
        <v/>
      </c>
      <c r="AH19" s="3" t="n">
        <v>-1</v>
      </c>
      <c r="AI19" s="3">
        <f>(AG19-N19)*K19*AH19</f>
        <v/>
      </c>
    </row>
    <row customHeight="1" ht="20" r="20" s="1" spans="1:35">
      <c r="A20" s="3" t="s">
        <v>49</v>
      </c>
      <c r="B20" s="3" t="s">
        <v>50</v>
      </c>
      <c r="C20" s="3" t="s">
        <v>37</v>
      </c>
      <c r="D20" s="7" t="s">
        <v>86</v>
      </c>
      <c r="E20" s="3" t="s">
        <v>39</v>
      </c>
      <c r="F20" s="17" t="n">
        <v>43811</v>
      </c>
      <c r="G20" s="17" t="n">
        <v>43843</v>
      </c>
      <c r="H20" s="3" t="s">
        <v>53</v>
      </c>
      <c r="I20" s="3" t="s">
        <v>58</v>
      </c>
      <c r="J20" s="3" t="s">
        <v>59</v>
      </c>
      <c r="K20" s="3" t="n">
        <v>350</v>
      </c>
      <c r="L20" s="3" t="n">
        <v>13210</v>
      </c>
      <c r="M20" s="3" t="n">
        <v>13210</v>
      </c>
      <c r="N20" s="3" t="n">
        <v>293.26</v>
      </c>
      <c r="O20" s="3">
        <f>N20*K20</f>
        <v/>
      </c>
      <c r="P20" s="3" t="s">
        <v>60</v>
      </c>
      <c r="Q20" s="3" t="s">
        <v>61</v>
      </c>
      <c r="R20" s="6" t="n">
        <v>0.19</v>
      </c>
      <c r="S20" s="3" t="n">
        <v>7</v>
      </c>
      <c r="T20" s="3" t="s">
        <v>45</v>
      </c>
      <c r="U20" s="17" t="n">
        <v>43843</v>
      </c>
      <c r="V20" s="3" t="s">
        <v>46</v>
      </c>
      <c r="W20" s="3" t="s">
        <v>47</v>
      </c>
      <c r="X20" s="6" t="n">
        <v>0.045</v>
      </c>
      <c r="Y20" s="3" t="n">
        <v>0</v>
      </c>
      <c r="Z20" s="3" t="n">
        <v>12805</v>
      </c>
      <c r="AA20" s="3" t="n">
        <v>12960</v>
      </c>
      <c r="AB20" s="3">
        <f>GBlackScholes(P20,Z20,L20,S20/245,X20,Y20,R20)</f>
        <v/>
      </c>
      <c r="AC20" s="3">
        <f>GBlackScholes(P20,AA20,L20,(S20+1)/245,X20,Y20,R20)</f>
        <v/>
      </c>
      <c r="AD20" s="3">
        <f>IF(I20="卖出",(AB20-AC20)*K20,(AC20-AB20)*K20)</f>
        <v/>
      </c>
      <c r="AE20" s="3" t="n">
        <v>214</v>
      </c>
      <c r="AF20" s="3" t="s">
        <v>87</v>
      </c>
      <c r="AG20" s="3">
        <f>AB20</f>
        <v/>
      </c>
      <c r="AH20" s="3" t="n">
        <v>-1</v>
      </c>
      <c r="AI20" s="3">
        <f>(AG20-N20)*K20*AH20</f>
        <v/>
      </c>
    </row>
    <row customHeight="1" ht="20" r="21" s="1" spans="1:35">
      <c r="A21" s="3" t="s">
        <v>49</v>
      </c>
      <c r="B21" s="3" t="s">
        <v>50</v>
      </c>
      <c r="C21" s="3" t="s">
        <v>37</v>
      </c>
      <c r="D21" s="7" t="s">
        <v>86</v>
      </c>
      <c r="E21" s="3" t="s">
        <v>39</v>
      </c>
      <c r="F21" s="17" t="n">
        <v>43811</v>
      </c>
      <c r="G21" s="17" t="n">
        <v>43843</v>
      </c>
      <c r="H21" s="3" t="s">
        <v>53</v>
      </c>
      <c r="I21" s="3" t="s">
        <v>58</v>
      </c>
      <c r="J21" s="3" t="s">
        <v>63</v>
      </c>
      <c r="K21" s="3" t="n">
        <v>350</v>
      </c>
      <c r="L21" s="3" t="n">
        <v>13210</v>
      </c>
      <c r="M21" s="3" t="n">
        <v>13210</v>
      </c>
      <c r="N21" s="3" t="n">
        <v>293.26</v>
      </c>
      <c r="O21" s="3">
        <f>N21*K21</f>
        <v/>
      </c>
      <c r="P21" s="3" t="s">
        <v>43</v>
      </c>
      <c r="Q21" s="3" t="s">
        <v>61</v>
      </c>
      <c r="R21" s="6" t="n">
        <v>0.19</v>
      </c>
      <c r="S21" s="3" t="n">
        <v>7</v>
      </c>
      <c r="T21" s="3" t="s">
        <v>45</v>
      </c>
      <c r="U21" s="17" t="n">
        <v>43843</v>
      </c>
      <c r="V21" s="3" t="s">
        <v>46</v>
      </c>
      <c r="W21" s="3" t="s">
        <v>47</v>
      </c>
      <c r="X21" s="6" t="n">
        <v>0.045</v>
      </c>
      <c r="Y21" s="3" t="n">
        <v>0</v>
      </c>
      <c r="Z21" s="3" t="n">
        <v>12805</v>
      </c>
      <c r="AA21" s="3" t="n">
        <v>12960</v>
      </c>
      <c r="AB21" s="3">
        <f>GBlackScholes(P21,Z21,L21,S21/245,X21,Y21,R21)</f>
        <v/>
      </c>
      <c r="AC21" s="3">
        <f>GBlackScholes(P21,AA21,L21,(S21+1)/245,X21,Y21,R21)</f>
        <v/>
      </c>
      <c r="AD21" s="3">
        <f>IF(I21="卖出",(AB21-AC21)*K21,(AC21-AB21)*K21)</f>
        <v/>
      </c>
      <c r="AE21" s="3" t="n">
        <v>214</v>
      </c>
      <c r="AF21" s="3" t="s">
        <v>87</v>
      </c>
      <c r="AG21" s="3">
        <f>AB21</f>
        <v/>
      </c>
      <c r="AH21" s="3" t="n">
        <v>-1</v>
      </c>
      <c r="AI21" s="3">
        <f>(AG21-N21)*K21*AH21</f>
        <v/>
      </c>
    </row>
    <row customHeight="1" ht="20" r="22" s="1" spans="1:35">
      <c r="A22" s="3" t="s">
        <v>49</v>
      </c>
      <c r="B22" s="3" t="s">
        <v>50</v>
      </c>
      <c r="C22" s="3" t="s">
        <v>37</v>
      </c>
      <c r="D22" s="7" t="s">
        <v>88</v>
      </c>
      <c r="E22" s="3" t="s">
        <v>52</v>
      </c>
      <c r="F22" s="17" t="n">
        <v>43811</v>
      </c>
      <c r="G22" s="17" t="n">
        <v>43843</v>
      </c>
      <c r="H22" s="3" t="s">
        <v>53</v>
      </c>
      <c r="I22" s="3" t="s">
        <v>58</v>
      </c>
      <c r="J22" s="3" t="s">
        <v>42</v>
      </c>
      <c r="K22" s="3" t="n">
        <v>1000</v>
      </c>
      <c r="L22" s="3" t="n">
        <v>14000</v>
      </c>
      <c r="M22" s="3" t="n">
        <v>13240</v>
      </c>
      <c r="N22" s="3" t="n">
        <v>845.86</v>
      </c>
      <c r="O22" s="3">
        <f>N22*K22</f>
        <v/>
      </c>
      <c r="P22" s="3" t="s">
        <v>43</v>
      </c>
      <c r="Q22" s="3" t="s">
        <v>61</v>
      </c>
      <c r="R22" s="6" t="n">
        <v>0.215</v>
      </c>
      <c r="S22" s="3" t="n">
        <v>7</v>
      </c>
      <c r="T22" s="3" t="s">
        <v>45</v>
      </c>
      <c r="U22" s="17" t="n">
        <v>43843</v>
      </c>
      <c r="V22" s="3" t="s">
        <v>46</v>
      </c>
      <c r="W22" s="3" t="s">
        <v>47</v>
      </c>
      <c r="X22" s="6" t="n">
        <v>0.045</v>
      </c>
      <c r="Y22" s="3" t="n">
        <v>0</v>
      </c>
      <c r="Z22" s="3" t="n">
        <v>12805</v>
      </c>
      <c r="AA22" s="3" t="n">
        <v>12960</v>
      </c>
      <c r="AB22" s="3">
        <f>GBlackScholes(P22,Z22,L22,S22/245,X22,Y22,R22)</f>
        <v/>
      </c>
      <c r="AC22" s="3">
        <f>GBlackScholes(P22,AA22,L22,(S22+1)/245,X22,Y22,R22)</f>
        <v/>
      </c>
      <c r="AD22" s="3">
        <f>IF(I22="卖出",(AB22-AC22)*K22,(AC22-AB22)*K22)</f>
        <v/>
      </c>
      <c r="AE22" s="3" t="n">
        <v>215</v>
      </c>
      <c r="AF22" s="3" t="s">
        <v>89</v>
      </c>
      <c r="AG22" s="3">
        <f>AB22</f>
        <v/>
      </c>
      <c r="AH22" s="3" t="n">
        <v>-1</v>
      </c>
      <c r="AI22" s="3">
        <f>(AG22-N22)*K22*AH22</f>
        <v/>
      </c>
    </row>
    <row customHeight="1" ht="20" r="23" s="1" spans="1:35">
      <c r="A23" s="3" t="s">
        <v>75</v>
      </c>
      <c r="B23" s="3" t="s">
        <v>36</v>
      </c>
      <c r="C23" s="3" t="s">
        <v>37</v>
      </c>
      <c r="D23" s="11" t="s">
        <v>90</v>
      </c>
      <c r="E23" s="3" t="s">
        <v>39</v>
      </c>
      <c r="F23" s="17" t="n">
        <v>43811</v>
      </c>
      <c r="G23" s="17" t="n">
        <v>43843</v>
      </c>
      <c r="H23" s="3" t="s">
        <v>91</v>
      </c>
      <c r="I23" s="3" t="s">
        <v>58</v>
      </c>
      <c r="J23" s="3" t="s">
        <v>64</v>
      </c>
      <c r="K23" s="3" t="n">
        <v>10000</v>
      </c>
      <c r="L23" s="3" t="n">
        <v>690</v>
      </c>
      <c r="M23" s="3" t="n">
        <v>650</v>
      </c>
      <c r="N23" s="3" t="n">
        <v>5.4</v>
      </c>
      <c r="O23" s="3">
        <f>N23*K23</f>
        <v/>
      </c>
      <c r="P23" s="3" t="s">
        <v>60</v>
      </c>
      <c r="Q23" s="3" t="s">
        <v>61</v>
      </c>
      <c r="R23" s="6" t="n">
        <v>0.2445</v>
      </c>
      <c r="S23" s="3" t="n">
        <v>7</v>
      </c>
      <c r="T23" s="3" t="s">
        <v>45</v>
      </c>
      <c r="U23" s="17" t="n">
        <v>43843</v>
      </c>
      <c r="V23" s="3" t="s">
        <v>46</v>
      </c>
      <c r="W23" s="3" t="s">
        <v>47</v>
      </c>
      <c r="X23" s="6" t="n">
        <v>0.045</v>
      </c>
      <c r="Y23" s="3" t="n">
        <v>0</v>
      </c>
      <c r="Z23" s="3" t="n">
        <v>655.5</v>
      </c>
      <c r="AA23" s="3" t="n">
        <v>648.5</v>
      </c>
      <c r="AB23" s="3">
        <f>GBlackScholes(P23,Z23,L23,S23/245,X23,Y23,R23)</f>
        <v/>
      </c>
      <c r="AC23" s="3">
        <f>GBlackScholes(P23,AA23,L23,(S23+1)/245,X23,Y23,R23)</f>
        <v/>
      </c>
      <c r="AD23" s="3">
        <f>IF(I23="卖出",(AB23-AC23)*K23,(AC23-AB23)*K23)</f>
        <v/>
      </c>
      <c r="AE23" s="3" t="n">
        <v>216</v>
      </c>
      <c r="AF23" s="3" t="s">
        <v>92</v>
      </c>
      <c r="AG23" s="3">
        <f>AB23</f>
        <v/>
      </c>
      <c r="AH23" s="3" t="n">
        <v>-1</v>
      </c>
      <c r="AI23" s="3">
        <f>(AG23-N23)*K23*AH23</f>
        <v/>
      </c>
    </row>
    <row customHeight="1" ht="20" r="24" s="1" spans="1:35">
      <c r="A24" s="3" t="s">
        <v>49</v>
      </c>
      <c r="B24" s="3" t="s">
        <v>50</v>
      </c>
      <c r="C24" s="3" t="s">
        <v>37</v>
      </c>
      <c r="D24" s="7" t="s">
        <v>86</v>
      </c>
      <c r="E24" s="3" t="s">
        <v>39</v>
      </c>
      <c r="F24" s="17" t="n">
        <v>43812</v>
      </c>
      <c r="G24" s="17" t="n">
        <v>43843</v>
      </c>
      <c r="H24" s="3" t="s">
        <v>84</v>
      </c>
      <c r="I24" s="3" t="s">
        <v>41</v>
      </c>
      <c r="J24" s="3" t="s">
        <v>59</v>
      </c>
      <c r="K24" s="3" t="n">
        <v>750</v>
      </c>
      <c r="L24" s="3" t="n">
        <v>6550</v>
      </c>
      <c r="M24" s="3" t="n">
        <v>6550</v>
      </c>
      <c r="N24" s="3" t="n">
        <v>94.31999999999999</v>
      </c>
      <c r="O24" s="3">
        <f>N24*K24</f>
        <v/>
      </c>
      <c r="P24" s="3" t="s">
        <v>60</v>
      </c>
      <c r="Q24" s="3" t="s">
        <v>44</v>
      </c>
      <c r="R24" s="6" t="n">
        <v>0.126</v>
      </c>
      <c r="S24" s="3" t="n">
        <v>7</v>
      </c>
      <c r="T24" s="3" t="s">
        <v>45</v>
      </c>
      <c r="U24" s="17" t="n">
        <v>43843</v>
      </c>
      <c r="V24" s="3" t="s">
        <v>46</v>
      </c>
      <c r="W24" s="3" t="s">
        <v>47</v>
      </c>
      <c r="X24" s="6" t="n">
        <v>0.045</v>
      </c>
      <c r="Y24" s="3" t="n">
        <v>0</v>
      </c>
      <c r="Z24" s="3" t="n">
        <v>6500</v>
      </c>
      <c r="AA24" s="3" t="n">
        <v>6525</v>
      </c>
      <c r="AB24" s="3">
        <f>GBlackScholes(P24,Z24,L24,S24/245,X24,Y24,R24)</f>
        <v/>
      </c>
      <c r="AC24" s="3">
        <f>GBlackScholes(P24,AA24,L24,(S24+1)/245,X24,Y24,R24)</f>
        <v/>
      </c>
      <c r="AD24" s="3">
        <f>IF(I24="卖出",(AB24-AC24)*K24,(AC24-AB24)*K24)</f>
        <v/>
      </c>
      <c r="AE24" s="3" t="n">
        <v>217</v>
      </c>
      <c r="AF24" s="3" t="s">
        <v>93</v>
      </c>
      <c r="AG24" s="3">
        <f>AB24</f>
        <v/>
      </c>
      <c r="AH24" s="3" t="n">
        <v>1</v>
      </c>
      <c r="AI24" s="3">
        <f>(AG24-N24)*K24*AH24</f>
        <v/>
      </c>
    </row>
    <row customHeight="1" ht="20" r="25" s="1" spans="1:35">
      <c r="A25" s="3" t="s">
        <v>49</v>
      </c>
      <c r="B25" s="3" t="s">
        <v>50</v>
      </c>
      <c r="C25" s="3" t="s">
        <v>37</v>
      </c>
      <c r="D25" s="7" t="s">
        <v>86</v>
      </c>
      <c r="E25" s="3" t="s">
        <v>39</v>
      </c>
      <c r="F25" s="17" t="n">
        <v>43812</v>
      </c>
      <c r="G25" s="17" t="n">
        <v>43843</v>
      </c>
      <c r="H25" s="3" t="s">
        <v>84</v>
      </c>
      <c r="I25" s="3" t="s">
        <v>41</v>
      </c>
      <c r="J25" s="3" t="s">
        <v>63</v>
      </c>
      <c r="K25" s="3" t="n">
        <v>750</v>
      </c>
      <c r="L25" s="3" t="n">
        <v>6550</v>
      </c>
      <c r="M25" s="3" t="n">
        <v>6550</v>
      </c>
      <c r="N25" s="3" t="n">
        <v>94.31999999999999</v>
      </c>
      <c r="O25" s="3">
        <f>N25*K25</f>
        <v/>
      </c>
      <c r="P25" s="3" t="s">
        <v>43</v>
      </c>
      <c r="Q25" s="3" t="s">
        <v>44</v>
      </c>
      <c r="R25" s="6" t="n">
        <v>0.126</v>
      </c>
      <c r="S25" s="3" t="n">
        <v>7</v>
      </c>
      <c r="T25" s="3" t="s">
        <v>45</v>
      </c>
      <c r="U25" s="17" t="n">
        <v>43843</v>
      </c>
      <c r="V25" s="3" t="s">
        <v>46</v>
      </c>
      <c r="W25" s="3" t="s">
        <v>47</v>
      </c>
      <c r="X25" s="6" t="n">
        <v>0.045</v>
      </c>
      <c r="Y25" s="3" t="n">
        <v>0</v>
      </c>
      <c r="Z25" s="3" t="n">
        <v>6500</v>
      </c>
      <c r="AA25" s="3" t="n">
        <v>6525</v>
      </c>
      <c r="AB25" s="3">
        <f>GBlackScholes(P25,Z25,L25,S25/245,X25,Y25,R25)</f>
        <v/>
      </c>
      <c r="AC25" s="3">
        <f>GBlackScholes(P25,AA25,L25,(S25+1)/245,X25,Y25,R25)</f>
        <v/>
      </c>
      <c r="AD25" s="3">
        <f>IF(I25="卖出",(AB25-AC25)*K25,(AC25-AB25)*K25)</f>
        <v/>
      </c>
      <c r="AE25" s="3" t="n">
        <v>217</v>
      </c>
      <c r="AF25" s="3" t="s">
        <v>93</v>
      </c>
      <c r="AG25" s="3">
        <f>AB25</f>
        <v/>
      </c>
      <c r="AH25" s="3" t="n">
        <v>1</v>
      </c>
      <c r="AI25" s="3">
        <f>(AG25-N25)*K25*AH25</f>
        <v/>
      </c>
    </row>
    <row customHeight="1" ht="20" r="26" s="1" spans="1:35">
      <c r="A26" s="3" t="s">
        <v>35</v>
      </c>
      <c r="B26" s="3" t="s">
        <v>50</v>
      </c>
      <c r="C26" s="3" t="s">
        <v>37</v>
      </c>
      <c r="D26" s="4" t="s">
        <v>80</v>
      </c>
      <c r="E26" s="3" t="s">
        <v>52</v>
      </c>
      <c r="F26" s="17" t="n">
        <v>43816</v>
      </c>
      <c r="G26" s="17" t="n">
        <v>43844</v>
      </c>
      <c r="H26" s="3" t="s">
        <v>94</v>
      </c>
      <c r="I26" s="3" t="s">
        <v>41</v>
      </c>
      <c r="J26" s="3" t="s">
        <v>64</v>
      </c>
      <c r="K26" s="3" t="n">
        <v>50</v>
      </c>
      <c r="L26" s="3" t="n">
        <v>51000</v>
      </c>
      <c r="M26" s="3" t="n">
        <v>49280</v>
      </c>
      <c r="N26" s="3">
        <f>409.06/2</f>
        <v/>
      </c>
      <c r="O26" s="3">
        <f>N26*K26</f>
        <v/>
      </c>
      <c r="P26" s="3" t="s">
        <v>60</v>
      </c>
      <c r="Q26" s="3" t="s">
        <v>44</v>
      </c>
      <c r="R26" s="6" t="n">
        <v>0.152</v>
      </c>
      <c r="S26" s="3" t="n">
        <v>8</v>
      </c>
      <c r="T26" s="3" t="s">
        <v>45</v>
      </c>
      <c r="U26" s="17" t="n">
        <v>43844</v>
      </c>
      <c r="V26" s="3" t="s">
        <v>46</v>
      </c>
      <c r="W26" s="3" t="s">
        <v>47</v>
      </c>
      <c r="X26" s="6" t="n">
        <v>0.045</v>
      </c>
      <c r="Y26" s="3" t="n">
        <v>0</v>
      </c>
      <c r="Z26" s="3" t="n">
        <v>49350</v>
      </c>
      <c r="AA26" s="3" t="n">
        <v>49280</v>
      </c>
      <c r="AB26" s="3">
        <f>GBlackScholes(P26,Z26,L26,S26/245,X26,Y26,R26)</f>
        <v/>
      </c>
      <c r="AC26" s="3">
        <f>GBlackScholes(P26,AA26,L26,(S26+1)/245,X26,Y26,R26)</f>
        <v/>
      </c>
      <c r="AD26" s="3">
        <f>IF(I26="卖出",(AB26-AC26)*K26,(AC26-AB26)*K26)</f>
        <v/>
      </c>
      <c r="AE26" s="3" t="n">
        <v>218</v>
      </c>
      <c r="AF26" s="3" t="s">
        <v>95</v>
      </c>
      <c r="AG26" s="3">
        <f>AB26</f>
        <v/>
      </c>
      <c r="AH26" s="3" t="n">
        <v>1</v>
      </c>
      <c r="AI26" s="3">
        <f>(AG26-N26)*K26*AH26</f>
        <v/>
      </c>
    </row>
    <row customHeight="1" ht="20" r="27" s="1" spans="1:35">
      <c r="A27" s="3" t="s">
        <v>35</v>
      </c>
      <c r="B27" s="3" t="s">
        <v>50</v>
      </c>
      <c r="C27" s="3" t="s">
        <v>37</v>
      </c>
      <c r="D27" s="4" t="s">
        <v>80</v>
      </c>
      <c r="E27" s="3" t="s">
        <v>52</v>
      </c>
      <c r="F27" s="17" t="n">
        <v>43816</v>
      </c>
      <c r="G27" s="17" t="n">
        <v>43844</v>
      </c>
      <c r="H27" s="3" t="s">
        <v>94</v>
      </c>
      <c r="I27" s="3" t="s">
        <v>41</v>
      </c>
      <c r="J27" s="3" t="s">
        <v>42</v>
      </c>
      <c r="K27" s="3" t="n">
        <v>50</v>
      </c>
      <c r="L27" s="3" t="n">
        <v>47060</v>
      </c>
      <c r="M27" s="3" t="n">
        <v>49280</v>
      </c>
      <c r="N27" s="3">
        <f>409.06/2</f>
        <v/>
      </c>
      <c r="O27" s="3">
        <f>N27*K27</f>
        <v/>
      </c>
      <c r="P27" s="3" t="s">
        <v>43</v>
      </c>
      <c r="Q27" s="3" t="s">
        <v>44</v>
      </c>
      <c r="R27" s="6" t="n">
        <v>0.152</v>
      </c>
      <c r="S27" s="3" t="n">
        <v>8</v>
      </c>
      <c r="T27" s="3" t="s">
        <v>45</v>
      </c>
      <c r="U27" s="17" t="n">
        <v>43844</v>
      </c>
      <c r="V27" s="3" t="s">
        <v>46</v>
      </c>
      <c r="W27" s="3" t="s">
        <v>47</v>
      </c>
      <c r="X27" s="6" t="n">
        <v>0.045</v>
      </c>
      <c r="Y27" s="3" t="n">
        <v>0</v>
      </c>
      <c r="Z27" s="3" t="n">
        <v>49350</v>
      </c>
      <c r="AA27" s="3" t="n">
        <v>49280</v>
      </c>
      <c r="AB27" s="3">
        <f>GBlackScholes(P27,Z27,L27,S27/245,X27,Y27,R27)</f>
        <v/>
      </c>
      <c r="AC27" s="3">
        <f>GBlackScholes(P27,AA27,L27,(S27+1)/245,X27,Y27,R27)</f>
        <v/>
      </c>
      <c r="AD27" s="3">
        <f>IF(I27="卖出",(AB27-AC27)*K27,(AC27-AB27)*K27)</f>
        <v/>
      </c>
      <c r="AE27" s="3" t="n">
        <v>218</v>
      </c>
      <c r="AF27" s="3" t="s">
        <v>95</v>
      </c>
      <c r="AG27" s="3">
        <f>AB27</f>
        <v/>
      </c>
      <c r="AH27" s="3" t="n">
        <v>1</v>
      </c>
      <c r="AI27" s="3">
        <f>(AG27-N27)*K27*AH27</f>
        <v/>
      </c>
    </row>
    <row customHeight="1" ht="20" r="28" s="1" spans="1:35">
      <c r="A28" s="3" t="s">
        <v>75</v>
      </c>
      <c r="B28" s="3" t="s">
        <v>50</v>
      </c>
      <c r="C28" s="3" t="s">
        <v>37</v>
      </c>
      <c r="D28" s="11" t="s">
        <v>96</v>
      </c>
      <c r="E28" s="3" t="s">
        <v>39</v>
      </c>
      <c r="F28" s="17" t="n">
        <v>43817</v>
      </c>
      <c r="G28" s="17" t="n">
        <v>43845</v>
      </c>
      <c r="H28" s="3" t="s">
        <v>97</v>
      </c>
      <c r="I28" s="3" t="s">
        <v>58</v>
      </c>
      <c r="J28" s="3" t="s">
        <v>42</v>
      </c>
      <c r="K28" s="3" t="n">
        <v>8120</v>
      </c>
      <c r="L28" s="3" t="n">
        <v>1591.77</v>
      </c>
      <c r="M28" s="3" t="n">
        <v>1641</v>
      </c>
      <c r="N28" s="3">
        <f>200000/8120</f>
        <v/>
      </c>
      <c r="O28" s="3">
        <f>N28*K28</f>
        <v/>
      </c>
      <c r="P28" s="3" t="s">
        <v>43</v>
      </c>
      <c r="Q28" s="3" t="s">
        <v>61</v>
      </c>
      <c r="R28" s="6" t="n">
        <v>0.25</v>
      </c>
      <c r="S28" s="3" t="n">
        <v>9</v>
      </c>
      <c r="T28" s="3" t="s">
        <v>45</v>
      </c>
      <c r="U28" s="17" t="n">
        <v>43845</v>
      </c>
      <c r="V28" s="3" t="s">
        <v>46</v>
      </c>
      <c r="W28" s="3" t="s">
        <v>47</v>
      </c>
      <c r="X28" s="6" t="n">
        <v>0.045</v>
      </c>
      <c r="Y28" s="3" t="n">
        <v>0</v>
      </c>
      <c r="Z28" s="3" t="n">
        <v>1625</v>
      </c>
      <c r="AA28" s="3" t="n">
        <v>1633</v>
      </c>
      <c r="AB28" s="3">
        <f>GBlackScholes(P28,Z28,L28,S28/245,X28,Y28,R28)</f>
        <v/>
      </c>
      <c r="AC28" s="3">
        <f>GBlackScholes(P28,AA28,L28,(S28+1)/245,X28,Y28,R28)</f>
        <v/>
      </c>
      <c r="AD28" s="3">
        <f>IF(I28="卖出",(AB28-AC28)*K28,(AC28-AB28)*K28)</f>
        <v/>
      </c>
      <c r="AE28" s="3" t="n">
        <v>219</v>
      </c>
      <c r="AF28" s="3" t="s">
        <v>98</v>
      </c>
      <c r="AG28" s="3">
        <f>AB28</f>
        <v/>
      </c>
      <c r="AH28" s="3" t="n">
        <v>-1</v>
      </c>
      <c r="AI28" s="3">
        <f>(AG28-N28)*K28*AH28</f>
        <v/>
      </c>
    </row>
    <row customHeight="1" ht="20" r="29" s="1" spans="1:35">
      <c r="A29" s="3" t="s">
        <v>49</v>
      </c>
      <c r="B29" s="3" t="s">
        <v>36</v>
      </c>
      <c r="C29" s="3" t="s">
        <v>37</v>
      </c>
      <c r="D29" s="7" t="s">
        <v>99</v>
      </c>
      <c r="E29" s="3" t="s">
        <v>39</v>
      </c>
      <c r="F29" s="17" t="n">
        <v>43818</v>
      </c>
      <c r="G29" s="17" t="n">
        <v>43938</v>
      </c>
      <c r="H29" s="3" t="s">
        <v>100</v>
      </c>
      <c r="I29" s="3" t="s">
        <v>58</v>
      </c>
      <c r="J29" s="3" t="s">
        <v>64</v>
      </c>
      <c r="K29" s="3" t="n">
        <v>1000</v>
      </c>
      <c r="L29" s="3" t="n">
        <v>5932</v>
      </c>
      <c r="M29" s="3" t="n">
        <v>5932</v>
      </c>
      <c r="N29" s="3" t="n">
        <v>252</v>
      </c>
      <c r="O29" s="3">
        <f>N29*K29</f>
        <v/>
      </c>
      <c r="P29" s="3" t="s">
        <v>60</v>
      </c>
      <c r="Q29" s="3" t="s">
        <v>61</v>
      </c>
      <c r="R29" s="6" t="n">
        <v>0.19</v>
      </c>
      <c r="S29" s="3" t="n">
        <v>70</v>
      </c>
      <c r="T29" s="3" t="s">
        <v>45</v>
      </c>
      <c r="U29" s="17" t="n">
        <v>43938</v>
      </c>
      <c r="V29" s="3" t="s">
        <v>46</v>
      </c>
      <c r="W29" s="3" t="s">
        <v>47</v>
      </c>
      <c r="X29" s="6" t="n">
        <v>0.045</v>
      </c>
      <c r="Y29" s="3" t="n">
        <v>0</v>
      </c>
      <c r="Z29" s="3" t="n">
        <v>6352</v>
      </c>
      <c r="AA29" s="3" t="n">
        <v>6362</v>
      </c>
      <c r="AB29" s="3">
        <f>GBlackScholes(P29,Z29,L29,S29/245,X29,Y29,R29)</f>
        <v/>
      </c>
      <c r="AC29" s="3">
        <f>GBlackScholes(P29,AA29,L29,(S29+1)/245,X29,Y29,R29)</f>
        <v/>
      </c>
      <c r="AD29" s="3">
        <f>IF(I29="卖出",(AB29-AC29)*K29,(AC29-AB29)*K29)</f>
        <v/>
      </c>
      <c r="AE29" s="3" t="n">
        <v>220</v>
      </c>
      <c r="AF29" s="3" t="s">
        <v>101</v>
      </c>
      <c r="AG29" s="3">
        <f>AB29</f>
        <v/>
      </c>
      <c r="AH29" s="3" t="n">
        <v>-1</v>
      </c>
      <c r="AI29" s="3">
        <f>(AG29-N29)*K29*AH29</f>
        <v/>
      </c>
    </row>
    <row customHeight="1" ht="20" r="30" s="1" spans="1:35">
      <c r="A30" s="3" t="s">
        <v>49</v>
      </c>
      <c r="B30" s="3" t="s">
        <v>36</v>
      </c>
      <c r="C30" s="3" t="s">
        <v>37</v>
      </c>
      <c r="D30" s="7" t="s">
        <v>99</v>
      </c>
      <c r="E30" s="3" t="s">
        <v>39</v>
      </c>
      <c r="F30" s="17" t="n">
        <v>43818</v>
      </c>
      <c r="G30" s="17" t="n">
        <v>43938</v>
      </c>
      <c r="H30" s="3" t="s">
        <v>100</v>
      </c>
      <c r="I30" s="3" t="s">
        <v>58</v>
      </c>
      <c r="J30" s="3" t="s">
        <v>42</v>
      </c>
      <c r="K30" s="3" t="n">
        <v>1000</v>
      </c>
      <c r="L30" s="3" t="n">
        <v>5932</v>
      </c>
      <c r="M30" s="3" t="n">
        <v>5932</v>
      </c>
      <c r="N30" s="3" t="n">
        <v>252</v>
      </c>
      <c r="O30" s="3">
        <f>N30*K30</f>
        <v/>
      </c>
      <c r="P30" s="3" t="s">
        <v>43</v>
      </c>
      <c r="Q30" s="3" t="s">
        <v>61</v>
      </c>
      <c r="R30" s="6" t="n">
        <v>0.19</v>
      </c>
      <c r="S30" s="3" t="n">
        <v>70</v>
      </c>
      <c r="T30" s="3" t="s">
        <v>45</v>
      </c>
      <c r="U30" s="17" t="n">
        <v>43938</v>
      </c>
      <c r="V30" s="3" t="s">
        <v>46</v>
      </c>
      <c r="W30" s="3" t="s">
        <v>47</v>
      </c>
      <c r="X30" s="6" t="n">
        <v>0.045</v>
      </c>
      <c r="Y30" s="3" t="n">
        <v>0</v>
      </c>
      <c r="Z30" s="3" t="n">
        <v>6352</v>
      </c>
      <c r="AA30" s="3" t="n">
        <v>6362</v>
      </c>
      <c r="AB30" s="3">
        <f>GBlackScholes(P30,Z30,L30,S30/245,X30,Y30,R30)</f>
        <v/>
      </c>
      <c r="AC30" s="3">
        <f>GBlackScholes(P30,AA30,L30,(S30+1)/245,X30,Y30,R30)</f>
        <v/>
      </c>
      <c r="AD30" s="3">
        <f>IF(I30="卖出",(AB30-AC30)*K30,(AC30-AB30)*K30)</f>
        <v/>
      </c>
      <c r="AE30" s="3" t="n">
        <v>220</v>
      </c>
      <c r="AF30" s="3" t="s">
        <v>101</v>
      </c>
      <c r="AG30" s="3">
        <f>AB30</f>
        <v/>
      </c>
      <c r="AH30" s="3" t="n">
        <v>-1</v>
      </c>
      <c r="AI30" s="3">
        <f>(AG30-N30)*K30*AH30</f>
        <v/>
      </c>
    </row>
    <row customHeight="1" ht="20" r="31" s="1" spans="1:35">
      <c r="A31" s="3" t="s">
        <v>35</v>
      </c>
      <c r="B31" s="3" t="s">
        <v>50</v>
      </c>
      <c r="C31" s="3" t="s">
        <v>37</v>
      </c>
      <c r="D31" s="4" t="s">
        <v>102</v>
      </c>
      <c r="E31" s="3" t="s">
        <v>52</v>
      </c>
      <c r="F31" s="17" t="n">
        <v>43822</v>
      </c>
      <c r="G31" s="17" t="n">
        <v>43850</v>
      </c>
      <c r="H31" s="3" t="s">
        <v>100</v>
      </c>
      <c r="I31" s="3" t="s">
        <v>58</v>
      </c>
      <c r="J31" s="3" t="s">
        <v>64</v>
      </c>
      <c r="K31" s="3" t="n">
        <v>1200</v>
      </c>
      <c r="L31" s="3" t="n">
        <v>6444</v>
      </c>
      <c r="M31" s="3" t="n">
        <v>6060</v>
      </c>
      <c r="N31" s="3" t="n">
        <v>41.31</v>
      </c>
      <c r="O31" s="3">
        <f>N31*K31</f>
        <v/>
      </c>
      <c r="P31" s="3" t="s">
        <v>60</v>
      </c>
      <c r="Q31" s="3" t="s">
        <v>61</v>
      </c>
      <c r="R31" s="6" t="n">
        <v>0.2378</v>
      </c>
      <c r="S31" s="3" t="n">
        <v>12</v>
      </c>
      <c r="T31" s="3" t="s">
        <v>45</v>
      </c>
      <c r="U31" s="17" t="n">
        <v>43850</v>
      </c>
      <c r="V31" s="3" t="s">
        <v>46</v>
      </c>
      <c r="W31" s="3" t="s">
        <v>47</v>
      </c>
      <c r="X31" s="6" t="n">
        <v>0.045</v>
      </c>
      <c r="Y31" s="3" t="n">
        <v>0</v>
      </c>
      <c r="Z31" s="3" t="n">
        <v>6352</v>
      </c>
      <c r="AA31" s="3" t="n">
        <v>6362</v>
      </c>
      <c r="AB31" s="3">
        <f>GBlackScholes(P31,Z31,L31,S31/245,X31,Y31,R31)</f>
        <v/>
      </c>
      <c r="AC31" s="3">
        <f>GBlackScholes(P31,AA31,L31,(S31+1)/245,X31,Y31,R31)</f>
        <v/>
      </c>
      <c r="AD31" s="3">
        <f>IF(I31="卖出",(AB31-AC31)*K31,(AC31-AB31)*K31)</f>
        <v/>
      </c>
      <c r="AE31" s="3" t="n">
        <v>223</v>
      </c>
      <c r="AF31" s="3" t="s">
        <v>103</v>
      </c>
      <c r="AG31" s="3">
        <f>AB31</f>
        <v/>
      </c>
      <c r="AH31" s="3" t="n">
        <v>-1</v>
      </c>
      <c r="AI31" s="3">
        <f>(AG31-N31)*K31*AH31</f>
        <v/>
      </c>
    </row>
    <row customHeight="1" ht="20" r="32" s="1" spans="1:35">
      <c r="A32" s="3" t="s">
        <v>49</v>
      </c>
      <c r="B32" s="3" t="s">
        <v>50</v>
      </c>
      <c r="C32" s="3" t="s">
        <v>37</v>
      </c>
      <c r="D32" s="7" t="s">
        <v>51</v>
      </c>
      <c r="E32" s="3" t="s">
        <v>52</v>
      </c>
      <c r="F32" s="17" t="n">
        <v>43822</v>
      </c>
      <c r="G32" s="17" t="n">
        <v>43850</v>
      </c>
      <c r="H32" s="3" t="s">
        <v>104</v>
      </c>
      <c r="I32" s="3" t="s">
        <v>41</v>
      </c>
      <c r="J32" s="3" t="s">
        <v>64</v>
      </c>
      <c r="K32" s="3" t="n">
        <v>2200</v>
      </c>
      <c r="L32" s="3" t="n">
        <v>4700</v>
      </c>
      <c r="M32" s="3" t="n">
        <v>4590</v>
      </c>
      <c r="N32" s="3" t="n">
        <v>16.52</v>
      </c>
      <c r="O32" s="3">
        <f>N32*K32</f>
        <v/>
      </c>
      <c r="P32" s="3" t="s">
        <v>60</v>
      </c>
      <c r="Q32" s="3" t="s">
        <v>44</v>
      </c>
      <c r="R32" s="6" t="n">
        <v>0.1058</v>
      </c>
      <c r="S32" s="3" t="n">
        <v>12</v>
      </c>
      <c r="T32" s="3" t="s">
        <v>45</v>
      </c>
      <c r="U32" s="17" t="n">
        <v>43850</v>
      </c>
      <c r="V32" s="3" t="s">
        <v>46</v>
      </c>
      <c r="W32" s="3" t="s">
        <v>47</v>
      </c>
      <c r="X32" s="6" t="n">
        <v>0.045</v>
      </c>
      <c r="Y32" s="3" t="n">
        <v>0</v>
      </c>
      <c r="Z32" s="3" t="n">
        <v>4610</v>
      </c>
      <c r="AA32" s="3" t="n">
        <v>4604</v>
      </c>
      <c r="AB32" s="3">
        <f>GBlackScholes(P32,Z32,L32,S32/245,X32,Y32,R32)</f>
        <v/>
      </c>
      <c r="AC32" s="3">
        <f>GBlackScholes(P32,AA32,L32,(S32+1)/245,X32,Y32,R32)</f>
        <v/>
      </c>
      <c r="AD32" s="3">
        <f>IF(I32="卖出",(AB32-AC32)*K32,(AC32-AB32)*K32)</f>
        <v/>
      </c>
      <c r="AE32" s="3" t="n">
        <v>224</v>
      </c>
      <c r="AF32" s="3" t="s">
        <v>105</v>
      </c>
      <c r="AG32" s="3">
        <f>AB32</f>
        <v/>
      </c>
      <c r="AH32" s="3" t="n">
        <v>1</v>
      </c>
      <c r="AI32" s="3">
        <f>(AG32-N32)*K32*AH32</f>
        <v/>
      </c>
    </row>
    <row customHeight="1" ht="20" r="33" s="1" spans="1:35">
      <c r="A33" s="3" t="s">
        <v>35</v>
      </c>
      <c r="B33" s="3" t="s">
        <v>50</v>
      </c>
      <c r="C33" s="3" t="s">
        <v>37</v>
      </c>
      <c r="D33" s="4" t="s">
        <v>80</v>
      </c>
      <c r="E33" s="3" t="s">
        <v>52</v>
      </c>
      <c r="F33" s="17" t="n">
        <v>43823</v>
      </c>
      <c r="G33" s="17" t="n">
        <v>43851</v>
      </c>
      <c r="H33" s="3" t="s">
        <v>94</v>
      </c>
      <c r="I33" s="3" t="s">
        <v>41</v>
      </c>
      <c r="J33" s="3" t="s">
        <v>64</v>
      </c>
      <c r="K33" s="3" t="n">
        <v>50</v>
      </c>
      <c r="L33" s="3" t="n">
        <v>51220</v>
      </c>
      <c r="M33" s="3" t="n">
        <v>49250</v>
      </c>
      <c r="N33" s="3">
        <f>408.81/2</f>
        <v/>
      </c>
      <c r="O33" s="3">
        <f>N33*K33</f>
        <v/>
      </c>
      <c r="P33" s="3" t="s">
        <v>60</v>
      </c>
      <c r="Q33" s="3" t="s">
        <v>44</v>
      </c>
      <c r="R33" s="6" t="n">
        <v>0.152</v>
      </c>
      <c r="S33" s="3" t="n">
        <v>13</v>
      </c>
      <c r="T33" s="3" t="s">
        <v>45</v>
      </c>
      <c r="U33" s="17" t="n">
        <v>43851</v>
      </c>
      <c r="V33" s="3" t="s">
        <v>46</v>
      </c>
      <c r="W33" s="3" t="s">
        <v>47</v>
      </c>
      <c r="X33" s="6" t="n">
        <v>0.045</v>
      </c>
      <c r="Y33" s="3" t="n">
        <v>0</v>
      </c>
      <c r="Z33" s="3" t="n">
        <v>49350</v>
      </c>
      <c r="AA33" s="3" t="n">
        <v>49280</v>
      </c>
      <c r="AB33" s="3">
        <f>GBlackScholes(P33,Z33,L33,S33/245,X33,Y33,R33)</f>
        <v/>
      </c>
      <c r="AC33" s="3">
        <f>GBlackScholes(P33,AA33,L33,(S33+1)/245,X33,Y33,R33)</f>
        <v/>
      </c>
      <c r="AD33" s="3">
        <f>IF(I33="卖出",(AB33-AC33)*K33,(AC33-AB33)*K33)</f>
        <v/>
      </c>
      <c r="AE33" s="3" t="n">
        <v>225</v>
      </c>
      <c r="AF33" s="3" t="s">
        <v>106</v>
      </c>
      <c r="AG33" s="3">
        <f>AB33</f>
        <v/>
      </c>
      <c r="AH33" s="3" t="n">
        <v>1</v>
      </c>
      <c r="AI33" s="3">
        <f>(AG33-N33)*K33*AH33</f>
        <v/>
      </c>
    </row>
    <row customHeight="1" ht="20" r="34" s="1" spans="1:35">
      <c r="A34" s="3" t="s">
        <v>35</v>
      </c>
      <c r="B34" s="3" t="s">
        <v>50</v>
      </c>
      <c r="C34" s="3" t="s">
        <v>37</v>
      </c>
      <c r="D34" s="4" t="s">
        <v>80</v>
      </c>
      <c r="E34" s="3" t="s">
        <v>52</v>
      </c>
      <c r="F34" s="17" t="n">
        <v>43823</v>
      </c>
      <c r="G34" s="17" t="n">
        <v>43851</v>
      </c>
      <c r="H34" s="3" t="s">
        <v>94</v>
      </c>
      <c r="I34" s="3" t="s">
        <v>41</v>
      </c>
      <c r="J34" s="3" t="s">
        <v>42</v>
      </c>
      <c r="K34" s="3" t="n">
        <v>50</v>
      </c>
      <c r="L34" s="3" t="n">
        <v>47280</v>
      </c>
      <c r="M34" s="3" t="n">
        <v>49250</v>
      </c>
      <c r="N34" s="3">
        <f>408.81/2</f>
        <v/>
      </c>
      <c r="O34" s="3">
        <f>N34*K34</f>
        <v/>
      </c>
      <c r="P34" s="3" t="s">
        <v>43</v>
      </c>
      <c r="Q34" s="3" t="s">
        <v>44</v>
      </c>
      <c r="R34" s="6" t="n">
        <v>0.152</v>
      </c>
      <c r="S34" s="3" t="n">
        <v>13</v>
      </c>
      <c r="T34" s="3" t="s">
        <v>45</v>
      </c>
      <c r="U34" s="17" t="n">
        <v>43851</v>
      </c>
      <c r="V34" s="3" t="s">
        <v>46</v>
      </c>
      <c r="W34" s="3" t="s">
        <v>47</v>
      </c>
      <c r="X34" s="6" t="n">
        <v>0.045</v>
      </c>
      <c r="Y34" s="3" t="n">
        <v>0</v>
      </c>
      <c r="Z34" s="3" t="n">
        <v>49350</v>
      </c>
      <c r="AA34" s="3" t="n">
        <v>49280</v>
      </c>
      <c r="AB34" s="3">
        <f>GBlackScholes(P34,Z34,L34,S34/245,X34,Y34,R34)</f>
        <v/>
      </c>
      <c r="AC34" s="3">
        <f>GBlackScholes(P34,AA34,L34,(S34+1)/245,X34,Y34,R34)</f>
        <v/>
      </c>
      <c r="AD34" s="3">
        <f>IF(I34="卖出",(AB34-AC34)*K34,(AC34-AB34)*K34)</f>
        <v/>
      </c>
      <c r="AE34" s="3" t="n">
        <v>225</v>
      </c>
      <c r="AF34" s="3" t="s">
        <v>106</v>
      </c>
      <c r="AG34" s="3">
        <f>AB34</f>
        <v/>
      </c>
      <c r="AH34" s="3" t="n">
        <v>1</v>
      </c>
      <c r="AI34" s="3">
        <f>(AG34-N34)*K34*AH34</f>
        <v/>
      </c>
    </row>
    <row customHeight="1" ht="20" r="35" s="1" spans="1:35">
      <c r="A35" s="3" t="s">
        <v>49</v>
      </c>
      <c r="B35" s="3" t="s">
        <v>36</v>
      </c>
      <c r="C35" s="3" t="s">
        <v>37</v>
      </c>
      <c r="D35" s="7" t="s">
        <v>99</v>
      </c>
      <c r="E35" s="3" t="s">
        <v>39</v>
      </c>
      <c r="F35" s="17" t="n">
        <v>43823</v>
      </c>
      <c r="G35" s="17" t="n">
        <v>43943</v>
      </c>
      <c r="H35" s="3" t="s">
        <v>84</v>
      </c>
      <c r="I35" s="3" t="s">
        <v>58</v>
      </c>
      <c r="J35" s="3" t="s">
        <v>64</v>
      </c>
      <c r="K35" s="3" t="n">
        <v>700</v>
      </c>
      <c r="L35" s="3" t="n">
        <v>6515</v>
      </c>
      <c r="M35" s="3" t="n">
        <v>6515</v>
      </c>
      <c r="N35" s="3" t="n">
        <v>165</v>
      </c>
      <c r="O35" s="3">
        <f>N35*K35</f>
        <v/>
      </c>
      <c r="P35" s="3" t="s">
        <v>60</v>
      </c>
      <c r="Q35" s="3" t="s">
        <v>61</v>
      </c>
      <c r="R35" s="6" t="n">
        <v>0.113</v>
      </c>
      <c r="S35" s="3" t="n">
        <v>73</v>
      </c>
      <c r="T35" s="3" t="s">
        <v>45</v>
      </c>
      <c r="U35" s="17" t="n">
        <v>43943</v>
      </c>
      <c r="V35" s="3" t="s">
        <v>46</v>
      </c>
      <c r="W35" s="3" t="s">
        <v>47</v>
      </c>
      <c r="X35" s="6" t="n">
        <v>0.045</v>
      </c>
      <c r="Y35" s="3" t="n">
        <v>0</v>
      </c>
      <c r="Z35" s="3" t="n">
        <v>6500</v>
      </c>
      <c r="AA35" s="3" t="n">
        <v>6525</v>
      </c>
      <c r="AB35" s="3">
        <f>GBlackScholes(P35,Z35,L35,S35/245,X35,Y35,R35)</f>
        <v/>
      </c>
      <c r="AC35" s="3">
        <f>GBlackScholes(P35,AA35,L35,(S35+1)/245,X35,Y35,R35)</f>
        <v/>
      </c>
      <c r="AD35" s="3">
        <f>IF(I35="卖出",(AB35-AC35)*K35,(AC35-AB35)*K35)</f>
        <v/>
      </c>
      <c r="AE35" s="3" t="n">
        <v>226</v>
      </c>
      <c r="AF35" s="3" t="s">
        <v>107</v>
      </c>
      <c r="AG35" s="3">
        <f>AB35</f>
        <v/>
      </c>
      <c r="AH35" s="3" t="n">
        <v>-1</v>
      </c>
      <c r="AI35" s="3">
        <f>(AG35-N35)*K35*AH35</f>
        <v/>
      </c>
    </row>
    <row customHeight="1" ht="20" r="36" s="1" spans="1:35">
      <c r="A36" s="3" t="s">
        <v>49</v>
      </c>
      <c r="B36" s="3" t="s">
        <v>36</v>
      </c>
      <c r="C36" s="3" t="s">
        <v>37</v>
      </c>
      <c r="D36" s="7" t="s">
        <v>99</v>
      </c>
      <c r="E36" s="3" t="s">
        <v>39</v>
      </c>
      <c r="F36" s="17" t="n">
        <v>43823</v>
      </c>
      <c r="G36" s="17" t="n">
        <v>43943</v>
      </c>
      <c r="H36" s="3" t="s">
        <v>84</v>
      </c>
      <c r="I36" s="3" t="s">
        <v>58</v>
      </c>
      <c r="J36" s="3" t="s">
        <v>42</v>
      </c>
      <c r="K36" s="3" t="n">
        <v>700</v>
      </c>
      <c r="L36" s="3" t="n">
        <v>6515</v>
      </c>
      <c r="M36" s="3" t="n">
        <v>6515</v>
      </c>
      <c r="N36" s="3" t="n">
        <v>165</v>
      </c>
      <c r="O36" s="3">
        <f>N36*K36</f>
        <v/>
      </c>
      <c r="P36" s="3" t="s">
        <v>43</v>
      </c>
      <c r="Q36" s="3" t="s">
        <v>61</v>
      </c>
      <c r="R36" s="6" t="n">
        <v>0.113</v>
      </c>
      <c r="S36" s="3" t="n">
        <v>73</v>
      </c>
      <c r="T36" s="3" t="s">
        <v>45</v>
      </c>
      <c r="U36" s="17" t="n">
        <v>43943</v>
      </c>
      <c r="V36" s="3" t="s">
        <v>46</v>
      </c>
      <c r="W36" s="3" t="s">
        <v>47</v>
      </c>
      <c r="X36" s="6" t="n">
        <v>0.045</v>
      </c>
      <c r="Y36" s="3" t="n">
        <v>0</v>
      </c>
      <c r="Z36" s="3" t="n">
        <v>6500</v>
      </c>
      <c r="AA36" s="3" t="n">
        <v>6525</v>
      </c>
      <c r="AB36" s="3">
        <f>GBlackScholes(P36,Z36,L36,S36/245,X36,Y36,R36)</f>
        <v/>
      </c>
      <c r="AC36" s="3">
        <f>GBlackScholes(P36,AA36,L36,(S36+1)/245,X36,Y36,R36)</f>
        <v/>
      </c>
      <c r="AD36" s="3">
        <f>IF(I36="卖出",(AB36-AC36)*K36,(AC36-AB36)*K36)</f>
        <v/>
      </c>
      <c r="AE36" s="3" t="n">
        <v>226</v>
      </c>
      <c r="AF36" s="3" t="s">
        <v>107</v>
      </c>
      <c r="AG36" s="3">
        <f>AB36</f>
        <v/>
      </c>
      <c r="AH36" s="3" t="n">
        <v>-1</v>
      </c>
      <c r="AI36" s="3">
        <f>(AG36-N36)*K36*AH36</f>
        <v/>
      </c>
    </row>
    <row customHeight="1" ht="20" r="37" s="1" spans="1:35">
      <c r="A37" s="3" t="s">
        <v>108</v>
      </c>
      <c r="B37" s="3" t="s">
        <v>50</v>
      </c>
      <c r="C37" s="3" t="s">
        <v>37</v>
      </c>
      <c r="D37" s="3" t="s">
        <v>109</v>
      </c>
      <c r="E37" s="3" t="s">
        <v>39</v>
      </c>
      <c r="F37" s="17" t="n">
        <v>43823</v>
      </c>
      <c r="G37" s="17" t="n">
        <v>43885</v>
      </c>
      <c r="H37" s="3" t="s">
        <v>40</v>
      </c>
      <c r="I37" s="3" t="s">
        <v>41</v>
      </c>
      <c r="J37" s="3" t="s">
        <v>59</v>
      </c>
      <c r="K37" s="3" t="n">
        <v>100000</v>
      </c>
      <c r="L37" s="3" t="n">
        <v>2145</v>
      </c>
      <c r="M37" s="3" t="n">
        <v>1900</v>
      </c>
      <c r="N37" s="3" t="n">
        <v>0.75</v>
      </c>
      <c r="O37" s="3">
        <f>N37*K37</f>
        <v/>
      </c>
      <c r="P37" s="3" t="s">
        <v>60</v>
      </c>
      <c r="Q37" s="3" t="s">
        <v>44</v>
      </c>
      <c r="R37" s="6" t="n">
        <v>0.15</v>
      </c>
      <c r="S37" s="3" t="n">
        <v>32</v>
      </c>
      <c r="T37" s="3" t="s">
        <v>45</v>
      </c>
      <c r="U37" s="17" t="n">
        <v>43885</v>
      </c>
      <c r="V37" s="3" t="s">
        <v>46</v>
      </c>
      <c r="W37" s="3" t="s">
        <v>47</v>
      </c>
      <c r="X37" s="6" t="n">
        <v>0.045</v>
      </c>
      <c r="Y37" s="3" t="n">
        <v>0</v>
      </c>
      <c r="Z37" s="3" t="n">
        <v>1918</v>
      </c>
      <c r="AA37" s="3" t="n">
        <v>1910</v>
      </c>
      <c r="AB37" s="3">
        <f>GBlackScholes(P37,Z37,L37,S37/245,X37,Y37,R37)</f>
        <v/>
      </c>
      <c r="AC37" s="3">
        <f>GBlackScholes(P37,AA37,L37,(S37+1)/245,X37,Y37,R37)</f>
        <v/>
      </c>
      <c r="AD37" s="3">
        <f>IF(I37="卖出",(AB37-AC37)*K37,(AC37-AB37)*K37)</f>
        <v/>
      </c>
      <c r="AE37" s="3" t="n">
        <v>227</v>
      </c>
      <c r="AF37" s="3" t="s">
        <v>110</v>
      </c>
      <c r="AG37" s="3">
        <f>AB37</f>
        <v/>
      </c>
      <c r="AH37" s="3" t="n">
        <v>1</v>
      </c>
      <c r="AI37" s="3">
        <f>(AG37-N37)*K37*AH37</f>
        <v/>
      </c>
    </row>
    <row customHeight="1" ht="20" r="38" s="1" spans="1:35">
      <c r="A38" s="3" t="s">
        <v>49</v>
      </c>
      <c r="B38" s="3" t="s">
        <v>36</v>
      </c>
      <c r="C38" s="3" t="s">
        <v>37</v>
      </c>
      <c r="D38" s="7" t="s">
        <v>38</v>
      </c>
      <c r="E38" s="3" t="s">
        <v>39</v>
      </c>
      <c r="F38" s="17" t="n">
        <v>43824</v>
      </c>
      <c r="G38" s="17" t="n">
        <v>43839</v>
      </c>
      <c r="H38" s="3" t="s">
        <v>53</v>
      </c>
      <c r="I38" s="3" t="s">
        <v>41</v>
      </c>
      <c r="J38" s="3" t="s">
        <v>64</v>
      </c>
      <c r="K38" s="3" t="n">
        <v>500</v>
      </c>
      <c r="L38" s="3" t="n">
        <v>12820</v>
      </c>
      <c r="M38" s="3" t="n">
        <v>12820</v>
      </c>
      <c r="N38" s="3" t="n">
        <v>165.013</v>
      </c>
      <c r="O38" s="3">
        <f>N38*K38</f>
        <v/>
      </c>
      <c r="P38" s="3" t="s">
        <v>60</v>
      </c>
      <c r="Q38" s="3" t="s">
        <v>44</v>
      </c>
      <c r="R38" s="6" t="n">
        <v>0.16</v>
      </c>
      <c r="S38" s="3" t="n">
        <v>5</v>
      </c>
      <c r="T38" s="3" t="s">
        <v>45</v>
      </c>
      <c r="U38" s="17" t="n">
        <v>43839</v>
      </c>
      <c r="V38" s="3" t="s">
        <v>46</v>
      </c>
      <c r="W38" s="3" t="s">
        <v>47</v>
      </c>
      <c r="X38" s="6" t="n">
        <v>0.045</v>
      </c>
      <c r="Y38" s="3" t="n">
        <v>0</v>
      </c>
      <c r="Z38" s="3" t="n">
        <v>12805</v>
      </c>
      <c r="AA38" s="3" t="n">
        <v>12960</v>
      </c>
      <c r="AB38" s="3">
        <f>GBlackScholes(P38,Z38,L38,S38/245,X38,Y38,R38)</f>
        <v/>
      </c>
      <c r="AC38" s="3">
        <f>GBlackScholes(P38,AA38,L38,(S38+1)/245,X38,Y38,R38)</f>
        <v/>
      </c>
      <c r="AD38" s="3">
        <f>IF(I38="卖出",(AB38-AC38)*K38,(AC38-AB38)*K38)</f>
        <v/>
      </c>
      <c r="AE38" s="3" t="n">
        <v>228</v>
      </c>
      <c r="AF38" s="3" t="s">
        <v>111</v>
      </c>
      <c r="AG38" s="3">
        <f>AB38</f>
        <v/>
      </c>
      <c r="AH38" s="3" t="n">
        <v>1</v>
      </c>
      <c r="AI38" s="3">
        <f>(AG38-N38)*K38*AH38</f>
        <v/>
      </c>
    </row>
    <row customHeight="1" ht="20" r="39" s="1" spans="1:35">
      <c r="A39" s="3" t="s">
        <v>49</v>
      </c>
      <c r="B39" s="3" t="s">
        <v>36</v>
      </c>
      <c r="C39" s="3" t="s">
        <v>37</v>
      </c>
      <c r="D39" s="7" t="s">
        <v>38</v>
      </c>
      <c r="E39" s="3" t="s">
        <v>39</v>
      </c>
      <c r="F39" s="17" t="n">
        <v>43824</v>
      </c>
      <c r="G39" s="17" t="n">
        <v>43839</v>
      </c>
      <c r="H39" s="3" t="s">
        <v>53</v>
      </c>
      <c r="I39" s="3" t="s">
        <v>41</v>
      </c>
      <c r="J39" s="3" t="s">
        <v>42</v>
      </c>
      <c r="K39" s="3" t="n">
        <v>500</v>
      </c>
      <c r="L39" s="3" t="n">
        <v>12820</v>
      </c>
      <c r="M39" s="3" t="n">
        <v>12820</v>
      </c>
      <c r="N39" s="3" t="n">
        <v>165.013</v>
      </c>
      <c r="O39" s="3">
        <f>N39*K39</f>
        <v/>
      </c>
      <c r="P39" s="3" t="s">
        <v>43</v>
      </c>
      <c r="Q39" s="3" t="s">
        <v>44</v>
      </c>
      <c r="R39" s="6" t="n">
        <v>0.16</v>
      </c>
      <c r="S39" s="3" t="n">
        <v>5</v>
      </c>
      <c r="T39" s="3" t="s">
        <v>45</v>
      </c>
      <c r="U39" s="17" t="n">
        <v>43839</v>
      </c>
      <c r="V39" s="3" t="s">
        <v>46</v>
      </c>
      <c r="W39" s="3" t="s">
        <v>47</v>
      </c>
      <c r="X39" s="6" t="n">
        <v>0.045</v>
      </c>
      <c r="Y39" s="3" t="n">
        <v>0</v>
      </c>
      <c r="Z39" s="3" t="n">
        <v>12805</v>
      </c>
      <c r="AA39" s="3" t="n">
        <v>12960</v>
      </c>
      <c r="AB39" s="3">
        <f>GBlackScholes(P39,Z39,L39,S39/245,X39,Y39,R39)</f>
        <v/>
      </c>
      <c r="AC39" s="3">
        <f>GBlackScholes(P39,AA39,L39,(S39+1)/245,X39,Y39,R39)</f>
        <v/>
      </c>
      <c r="AD39" s="3">
        <f>IF(I39="卖出",(AB39-AC39)*K39,(AC39-AB39)*K39)</f>
        <v/>
      </c>
      <c r="AE39" s="3" t="n">
        <v>228</v>
      </c>
      <c r="AF39" s="3" t="s">
        <v>111</v>
      </c>
      <c r="AG39" s="3">
        <f>AB39</f>
        <v/>
      </c>
      <c r="AH39" s="3" t="n">
        <v>1</v>
      </c>
      <c r="AI39" s="3">
        <f>(AG39-N39)*K39*AH39</f>
        <v/>
      </c>
    </row>
    <row customHeight="1" ht="20" r="40" s="1" spans="1:35">
      <c r="A40" s="3" t="s">
        <v>35</v>
      </c>
      <c r="B40" s="3" t="s">
        <v>36</v>
      </c>
      <c r="C40" s="3" t="s">
        <v>37</v>
      </c>
      <c r="D40" s="4" t="s">
        <v>112</v>
      </c>
      <c r="E40" s="3" t="s">
        <v>39</v>
      </c>
      <c r="F40" s="17" t="n">
        <v>43824</v>
      </c>
      <c r="G40" s="17" t="n">
        <v>43852</v>
      </c>
      <c r="H40" s="3" t="s">
        <v>113</v>
      </c>
      <c r="I40" s="3" t="s">
        <v>58</v>
      </c>
      <c r="J40" s="3" t="s">
        <v>59</v>
      </c>
      <c r="K40" s="3" t="n">
        <v>1300</v>
      </c>
      <c r="L40" s="3" t="n">
        <v>1845</v>
      </c>
      <c r="M40" s="3" t="n">
        <v>1845</v>
      </c>
      <c r="N40" s="3" t="n">
        <v>47.05</v>
      </c>
      <c r="O40" s="3">
        <f>N40*K40</f>
        <v/>
      </c>
      <c r="P40" s="3" t="s">
        <v>60</v>
      </c>
      <c r="Q40" s="3" t="s">
        <v>61</v>
      </c>
      <c r="R40" s="6" t="n">
        <v>0.23</v>
      </c>
      <c r="S40" s="3" t="n">
        <v>14</v>
      </c>
      <c r="T40" s="3" t="s">
        <v>45</v>
      </c>
      <c r="U40" s="17" t="n">
        <v>43852</v>
      </c>
      <c r="V40" s="3" t="s">
        <v>46</v>
      </c>
      <c r="W40" s="3" t="s">
        <v>47</v>
      </c>
      <c r="X40" s="6" t="n">
        <v>0.045</v>
      </c>
      <c r="Y40" s="3" t="n">
        <v>0</v>
      </c>
      <c r="Z40" s="3" t="n">
        <v>1868</v>
      </c>
      <c r="AA40" s="3" t="n">
        <v>1883</v>
      </c>
      <c r="AB40" s="3">
        <f>GBlackScholes(P40,Z40,L40,S40/245,X40,Y40,R40)</f>
        <v/>
      </c>
      <c r="AC40" s="3">
        <f>GBlackScholes(P40,AA40,L40,(S40+1)/245,X40,Y40,R40)</f>
        <v/>
      </c>
      <c r="AD40" s="3">
        <f>IF(I40="卖出",(AB40-AC40)*K40,(AC40-AB40)*K40)</f>
        <v/>
      </c>
      <c r="AE40" s="3" t="n">
        <v>229</v>
      </c>
      <c r="AF40" s="3" t="s">
        <v>114</v>
      </c>
      <c r="AG40" s="3">
        <f>AB40</f>
        <v/>
      </c>
      <c r="AH40" s="3" t="n">
        <v>-1</v>
      </c>
      <c r="AI40" s="3">
        <f>(AG40-N40)*K40*AH40</f>
        <v/>
      </c>
    </row>
    <row customHeight="1" ht="20" r="41" s="1" spans="1:35">
      <c r="A41" s="3" t="s">
        <v>35</v>
      </c>
      <c r="B41" s="3" t="s">
        <v>36</v>
      </c>
      <c r="C41" s="3" t="s">
        <v>37</v>
      </c>
      <c r="D41" s="4" t="s">
        <v>112</v>
      </c>
      <c r="E41" s="3" t="s">
        <v>39</v>
      </c>
      <c r="F41" s="17" t="n">
        <v>43824</v>
      </c>
      <c r="G41" s="17" t="n">
        <v>43852</v>
      </c>
      <c r="H41" s="3" t="s">
        <v>113</v>
      </c>
      <c r="I41" s="3" t="s">
        <v>58</v>
      </c>
      <c r="J41" s="3" t="s">
        <v>63</v>
      </c>
      <c r="K41" s="3" t="n">
        <v>1300</v>
      </c>
      <c r="L41" s="3" t="n">
        <v>1845</v>
      </c>
      <c r="M41" s="3" t="n">
        <v>1845</v>
      </c>
      <c r="N41" s="3" t="n">
        <v>47.05</v>
      </c>
      <c r="O41" s="3">
        <f>N41*K41</f>
        <v/>
      </c>
      <c r="P41" s="3" t="s">
        <v>43</v>
      </c>
      <c r="Q41" s="3" t="s">
        <v>61</v>
      </c>
      <c r="R41" s="6" t="n">
        <v>0.23</v>
      </c>
      <c r="S41" s="3" t="n">
        <v>14</v>
      </c>
      <c r="T41" s="3" t="s">
        <v>45</v>
      </c>
      <c r="U41" s="17" t="n">
        <v>43852</v>
      </c>
      <c r="V41" s="3" t="s">
        <v>46</v>
      </c>
      <c r="W41" s="3" t="s">
        <v>47</v>
      </c>
      <c r="X41" s="6" t="n">
        <v>0.045</v>
      </c>
      <c r="Y41" s="3" t="n">
        <v>0</v>
      </c>
      <c r="Z41" s="3" t="n">
        <v>1868</v>
      </c>
      <c r="AA41" s="3" t="n">
        <v>1883</v>
      </c>
      <c r="AB41" s="3">
        <f>GBlackScholes(P41,Z41,L41,S41/245,X41,Y41,R41)</f>
        <v/>
      </c>
      <c r="AC41" s="3">
        <f>GBlackScholes(P41,AA41,L41,(S41+1)/245,X41,Y41,R41)</f>
        <v/>
      </c>
      <c r="AD41" s="3">
        <f>IF(I41="卖出",(AB41-AC41)*K41,(AC41-AB41)*K41)</f>
        <v/>
      </c>
      <c r="AE41" s="3" t="n">
        <v>229</v>
      </c>
      <c r="AF41" s="3" t="s">
        <v>114</v>
      </c>
      <c r="AG41" s="3">
        <f>AB41</f>
        <v/>
      </c>
      <c r="AH41" s="3" t="n">
        <v>-1</v>
      </c>
      <c r="AI41" s="3">
        <f>(AG41-N41)*K41*AH41</f>
        <v/>
      </c>
    </row>
    <row customHeight="1" ht="20" r="42" s="1" spans="1:35">
      <c r="A42" s="3" t="s">
        <v>49</v>
      </c>
      <c r="B42" s="3" t="s">
        <v>36</v>
      </c>
      <c r="C42" s="3" t="s">
        <v>37</v>
      </c>
      <c r="D42" s="7" t="s">
        <v>99</v>
      </c>
      <c r="E42" s="3" t="s">
        <v>39</v>
      </c>
      <c r="F42" s="17" t="n">
        <v>43825</v>
      </c>
      <c r="G42" s="17" t="n">
        <v>43888</v>
      </c>
      <c r="H42" s="3" t="s">
        <v>53</v>
      </c>
      <c r="I42" s="3" t="s">
        <v>58</v>
      </c>
      <c r="J42" s="3" t="s">
        <v>64</v>
      </c>
      <c r="K42" s="3" t="n">
        <v>500</v>
      </c>
      <c r="L42" s="3" t="n">
        <v>12810</v>
      </c>
      <c r="M42" s="3" t="n">
        <v>12810</v>
      </c>
      <c r="N42" s="3" t="n">
        <v>350</v>
      </c>
      <c r="O42" s="3">
        <f>N42*K42</f>
        <v/>
      </c>
      <c r="P42" s="3" t="s">
        <v>60</v>
      </c>
      <c r="Q42" s="3" t="s">
        <v>61</v>
      </c>
      <c r="R42" s="6" t="n">
        <v>0.173</v>
      </c>
      <c r="S42" s="3" t="n">
        <v>35</v>
      </c>
      <c r="T42" s="3" t="s">
        <v>45</v>
      </c>
      <c r="U42" s="17" t="n">
        <v>43888</v>
      </c>
      <c r="V42" s="3" t="s">
        <v>46</v>
      </c>
      <c r="W42" s="3" t="s">
        <v>47</v>
      </c>
      <c r="X42" s="6" t="n">
        <v>0.045</v>
      </c>
      <c r="Y42" s="3" t="n">
        <v>0</v>
      </c>
      <c r="Z42" s="3" t="n">
        <v>12805</v>
      </c>
      <c r="AA42" s="3" t="n">
        <v>12960</v>
      </c>
      <c r="AB42" s="3">
        <f>GBlackScholes(P42,Z42,L42,S42/245,X42,Y42,R42)</f>
        <v/>
      </c>
      <c r="AC42" s="3">
        <f>GBlackScholes(P42,AA42,L42,(S42+1)/245,X42,Y42,R42)</f>
        <v/>
      </c>
      <c r="AD42" s="3">
        <f>IF(I42="卖出",(AB42-AC42)*K42,(AC42-AB42)*K42)</f>
        <v/>
      </c>
      <c r="AE42" s="3" t="n">
        <v>230</v>
      </c>
      <c r="AF42" s="3" t="s">
        <v>115</v>
      </c>
      <c r="AG42" s="3">
        <f>AB42</f>
        <v/>
      </c>
      <c r="AH42" s="3" t="n">
        <v>-1</v>
      </c>
      <c r="AI42" s="3">
        <f>(AG42-N42)*K42*AH42</f>
        <v/>
      </c>
    </row>
    <row customHeight="1" ht="20" r="43" s="1" spans="1:35">
      <c r="A43" s="3" t="s">
        <v>49</v>
      </c>
      <c r="B43" s="3" t="s">
        <v>36</v>
      </c>
      <c r="C43" s="3" t="s">
        <v>37</v>
      </c>
      <c r="D43" s="7" t="s">
        <v>99</v>
      </c>
      <c r="E43" s="3" t="s">
        <v>39</v>
      </c>
      <c r="F43" s="17" t="n">
        <v>43825</v>
      </c>
      <c r="G43" s="17" t="n">
        <v>43888</v>
      </c>
      <c r="H43" s="3" t="s">
        <v>53</v>
      </c>
      <c r="I43" s="3" t="s">
        <v>58</v>
      </c>
      <c r="J43" s="3" t="s">
        <v>42</v>
      </c>
      <c r="K43" s="3" t="n">
        <v>500</v>
      </c>
      <c r="L43" s="3" t="n">
        <v>12810</v>
      </c>
      <c r="M43" s="3" t="n">
        <v>12810</v>
      </c>
      <c r="N43" s="3" t="n">
        <v>350</v>
      </c>
      <c r="O43" s="3">
        <f>N43*K43</f>
        <v/>
      </c>
      <c r="P43" s="3" t="s">
        <v>43</v>
      </c>
      <c r="Q43" s="3" t="s">
        <v>61</v>
      </c>
      <c r="R43" s="6" t="n">
        <v>0.173</v>
      </c>
      <c r="S43" s="3" t="n">
        <v>35</v>
      </c>
      <c r="T43" s="3" t="s">
        <v>45</v>
      </c>
      <c r="U43" s="17" t="n">
        <v>43888</v>
      </c>
      <c r="V43" s="3" t="s">
        <v>46</v>
      </c>
      <c r="W43" s="3" t="s">
        <v>47</v>
      </c>
      <c r="X43" s="6" t="n">
        <v>0.045</v>
      </c>
      <c r="Y43" s="3" t="n">
        <v>0</v>
      </c>
      <c r="Z43" s="3" t="n">
        <v>12805</v>
      </c>
      <c r="AA43" s="3" t="n">
        <v>12960</v>
      </c>
      <c r="AB43" s="3">
        <f>GBlackScholes(P43,Z43,L43,S43/245,X43,Y43,R43)</f>
        <v/>
      </c>
      <c r="AC43" s="3">
        <f>GBlackScholes(P43,AA43,L43,(S43+1)/245,X43,Y43,R43)</f>
        <v/>
      </c>
      <c r="AD43" s="3">
        <f>IF(I43="卖出",(AB43-AC43)*K43,(AC43-AB43)*K43)</f>
        <v/>
      </c>
      <c r="AE43" s="3" t="n">
        <v>230</v>
      </c>
      <c r="AF43" s="3" t="s">
        <v>115</v>
      </c>
      <c r="AG43" s="3">
        <f>AB43</f>
        <v/>
      </c>
      <c r="AH43" s="3" t="n">
        <v>-1</v>
      </c>
      <c r="AI43" s="3">
        <f>(AG43-N43)*K43*AH43</f>
        <v/>
      </c>
    </row>
    <row customHeight="1" ht="20" r="44" s="1" spans="1:35">
      <c r="A44" s="3" t="s">
        <v>49</v>
      </c>
      <c r="B44" s="3" t="s">
        <v>50</v>
      </c>
      <c r="C44" s="3" t="s">
        <v>37</v>
      </c>
      <c r="D44" s="7" t="s">
        <v>116</v>
      </c>
      <c r="E44" s="3" t="s">
        <v>39</v>
      </c>
      <c r="F44" s="17" t="n">
        <v>43826</v>
      </c>
      <c r="G44" s="17" t="n">
        <v>43864</v>
      </c>
      <c r="H44" s="3" t="s">
        <v>84</v>
      </c>
      <c r="I44" s="3" t="s">
        <v>58</v>
      </c>
      <c r="J44" s="3" t="s">
        <v>64</v>
      </c>
      <c r="K44" s="3" t="n">
        <v>350</v>
      </c>
      <c r="L44" s="3" t="n">
        <v>6510</v>
      </c>
      <c r="M44" s="3" t="n">
        <v>6510</v>
      </c>
      <c r="N44" s="3" t="n">
        <v>81.375</v>
      </c>
      <c r="O44" s="3">
        <f>N44*K44</f>
        <v/>
      </c>
      <c r="P44" s="3" t="s">
        <v>60</v>
      </c>
      <c r="Q44" s="3" t="s">
        <v>61</v>
      </c>
      <c r="R44" s="6" t="n">
        <v>0.11</v>
      </c>
      <c r="S44" s="3" t="n">
        <v>17</v>
      </c>
      <c r="T44" s="3" t="s">
        <v>45</v>
      </c>
      <c r="U44" s="17" t="n">
        <v>43864</v>
      </c>
      <c r="V44" s="3" t="s">
        <v>46</v>
      </c>
      <c r="W44" s="3" t="s">
        <v>47</v>
      </c>
      <c r="X44" s="6" t="n">
        <v>0.045</v>
      </c>
      <c r="Y44" s="3" t="n">
        <v>0</v>
      </c>
      <c r="Z44" s="3" t="n">
        <v>6500</v>
      </c>
      <c r="AA44" s="3" t="n">
        <v>6525</v>
      </c>
      <c r="AB44" s="3">
        <f>GBlackScholes(P44,Z44,L44,S44/245,X44,Y44,R44)</f>
        <v/>
      </c>
      <c r="AC44" s="3">
        <f>GBlackScholes(P44,AA44,L44,(S44+1)/245,X44,Y44,R44)</f>
        <v/>
      </c>
      <c r="AD44" s="3">
        <f>IF(I44="卖出",(AB44-AC44)*K44,(AC44-AB44)*K44)</f>
        <v/>
      </c>
      <c r="AE44" s="3" t="n">
        <v>233</v>
      </c>
      <c r="AF44" s="3" t="s">
        <v>117</v>
      </c>
      <c r="AG44" s="3">
        <f>AB44</f>
        <v/>
      </c>
      <c r="AH44" s="3" t="n">
        <v>-1</v>
      </c>
      <c r="AI44" s="3">
        <f>(AG44-N44)*K44*AH44</f>
        <v/>
      </c>
    </row>
    <row customHeight="1" ht="20" r="45" s="1" spans="1:35">
      <c r="A45" s="3" t="s">
        <v>49</v>
      </c>
      <c r="B45" s="3" t="s">
        <v>50</v>
      </c>
      <c r="C45" s="3" t="s">
        <v>37</v>
      </c>
      <c r="D45" s="7" t="s">
        <v>116</v>
      </c>
      <c r="E45" s="3" t="s">
        <v>39</v>
      </c>
      <c r="F45" s="17" t="n">
        <v>43826</v>
      </c>
      <c r="G45" s="17" t="n">
        <v>43864</v>
      </c>
      <c r="H45" s="3" t="s">
        <v>84</v>
      </c>
      <c r="I45" s="3" t="s">
        <v>58</v>
      </c>
      <c r="J45" s="3" t="s">
        <v>42</v>
      </c>
      <c r="K45" s="3" t="n">
        <v>350</v>
      </c>
      <c r="L45" s="3" t="n">
        <v>6510</v>
      </c>
      <c r="M45" s="3" t="n">
        <v>6510</v>
      </c>
      <c r="N45" s="3" t="n">
        <v>81.375</v>
      </c>
      <c r="O45" s="3">
        <f>N45*K45</f>
        <v/>
      </c>
      <c r="P45" s="3" t="s">
        <v>43</v>
      </c>
      <c r="Q45" s="3" t="s">
        <v>61</v>
      </c>
      <c r="R45" s="6" t="n">
        <v>0.11</v>
      </c>
      <c r="S45" s="3" t="n">
        <v>17</v>
      </c>
      <c r="T45" s="3" t="s">
        <v>45</v>
      </c>
      <c r="U45" s="17" t="n">
        <v>43864</v>
      </c>
      <c r="V45" s="3" t="s">
        <v>46</v>
      </c>
      <c r="W45" s="3" t="s">
        <v>47</v>
      </c>
      <c r="X45" s="6" t="n">
        <v>0.045</v>
      </c>
      <c r="Y45" s="3" t="n">
        <v>0</v>
      </c>
      <c r="Z45" s="3" t="n">
        <v>6500</v>
      </c>
      <c r="AA45" s="3" t="n">
        <v>6525</v>
      </c>
      <c r="AB45" s="3">
        <f>GBlackScholes(P45,Z45,L45,S45/245,X45,Y45,R45)</f>
        <v/>
      </c>
      <c r="AC45" s="3">
        <f>GBlackScholes(P45,AA45,L45,(S45+1)/245,X45,Y45,R45)</f>
        <v/>
      </c>
      <c r="AD45" s="3">
        <f>IF(I45="卖出",(AB45-AC45)*K45,(AC45-AB45)*K45)</f>
        <v/>
      </c>
      <c r="AE45" s="3" t="n">
        <v>233</v>
      </c>
      <c r="AF45" s="3" t="s">
        <v>117</v>
      </c>
      <c r="AG45" s="3">
        <f>AB45</f>
        <v/>
      </c>
      <c r="AH45" s="3" t="n">
        <v>-1</v>
      </c>
      <c r="AI45" s="3">
        <f>(AG45-N45)*K45*AH45</f>
        <v/>
      </c>
    </row>
    <row customHeight="1" ht="20" r="46" s="1" spans="1:35">
      <c r="A46" s="3" t="s">
        <v>49</v>
      </c>
      <c r="B46" s="3" t="s">
        <v>50</v>
      </c>
      <c r="C46" s="3" t="s">
        <v>37</v>
      </c>
      <c r="D46" s="7" t="s">
        <v>118</v>
      </c>
      <c r="E46" s="3" t="s">
        <v>39</v>
      </c>
      <c r="F46" s="17" t="n">
        <v>43826</v>
      </c>
      <c r="G46" s="17" t="n">
        <v>43864</v>
      </c>
      <c r="H46" s="3" t="s">
        <v>84</v>
      </c>
      <c r="I46" s="3" t="s">
        <v>58</v>
      </c>
      <c r="J46" s="3" t="s">
        <v>64</v>
      </c>
      <c r="K46" s="3" t="n">
        <v>350</v>
      </c>
      <c r="L46" s="3" t="n">
        <v>6510</v>
      </c>
      <c r="M46" s="3" t="n">
        <v>6510</v>
      </c>
      <c r="N46" s="3" t="n">
        <v>81.375</v>
      </c>
      <c r="O46" s="3">
        <f>N46*K46</f>
        <v/>
      </c>
      <c r="P46" s="3" t="s">
        <v>60</v>
      </c>
      <c r="Q46" s="3" t="s">
        <v>61</v>
      </c>
      <c r="R46" s="6" t="n">
        <v>0.11</v>
      </c>
      <c r="S46" s="3" t="n">
        <v>17</v>
      </c>
      <c r="T46" s="3" t="s">
        <v>45</v>
      </c>
      <c r="U46" s="17" t="n">
        <v>43864</v>
      </c>
      <c r="V46" s="3" t="s">
        <v>46</v>
      </c>
      <c r="W46" s="3" t="s">
        <v>47</v>
      </c>
      <c r="X46" s="6" t="n">
        <v>0.045</v>
      </c>
      <c r="Y46" s="3" t="n">
        <v>0</v>
      </c>
      <c r="Z46" s="3" t="n">
        <v>6500</v>
      </c>
      <c r="AA46" s="3" t="n">
        <v>6525</v>
      </c>
      <c r="AB46" s="3">
        <f>GBlackScholes(P46,Z46,L46,S46/245,X46,Y46,R46)</f>
        <v/>
      </c>
      <c r="AC46" s="3">
        <f>GBlackScholes(P46,AA46,L46,(S46+1)/245,X46,Y46,R46)</f>
        <v/>
      </c>
      <c r="AD46" s="3">
        <f>IF(I46="卖出",(AB46-AC46)*K46,(AC46-AB46)*K46)</f>
        <v/>
      </c>
      <c r="AE46" s="3" t="n">
        <v>234</v>
      </c>
      <c r="AF46" s="3" t="s">
        <v>119</v>
      </c>
      <c r="AG46" s="3">
        <f>AB46</f>
        <v/>
      </c>
      <c r="AH46" s="3" t="n">
        <v>-1</v>
      </c>
      <c r="AI46" s="3">
        <f>(AG46-N46)*K46*AH46</f>
        <v/>
      </c>
    </row>
    <row customHeight="1" ht="20" r="47" s="1" spans="1:35">
      <c r="A47" s="3" t="s">
        <v>49</v>
      </c>
      <c r="B47" s="3" t="s">
        <v>50</v>
      </c>
      <c r="C47" s="3" t="s">
        <v>37</v>
      </c>
      <c r="D47" s="7" t="s">
        <v>118</v>
      </c>
      <c r="E47" s="3" t="s">
        <v>39</v>
      </c>
      <c r="F47" s="17" t="n">
        <v>43826</v>
      </c>
      <c r="G47" s="17" t="n">
        <v>43864</v>
      </c>
      <c r="H47" s="3" t="s">
        <v>84</v>
      </c>
      <c r="I47" s="3" t="s">
        <v>58</v>
      </c>
      <c r="J47" s="3" t="s">
        <v>42</v>
      </c>
      <c r="K47" s="3" t="n">
        <v>350</v>
      </c>
      <c r="L47" s="3" t="n">
        <v>6510</v>
      </c>
      <c r="M47" s="3" t="n">
        <v>6510</v>
      </c>
      <c r="N47" s="3" t="n">
        <v>81.375</v>
      </c>
      <c r="O47" s="3">
        <f>N47*K47</f>
        <v/>
      </c>
      <c r="P47" s="3" t="s">
        <v>43</v>
      </c>
      <c r="Q47" s="3" t="s">
        <v>61</v>
      </c>
      <c r="R47" s="6" t="n">
        <v>0.11</v>
      </c>
      <c r="S47" s="3" t="n">
        <v>17</v>
      </c>
      <c r="T47" s="3" t="s">
        <v>45</v>
      </c>
      <c r="U47" s="17" t="n">
        <v>43864</v>
      </c>
      <c r="V47" s="3" t="s">
        <v>46</v>
      </c>
      <c r="W47" s="3" t="s">
        <v>47</v>
      </c>
      <c r="X47" s="6" t="n">
        <v>0.045</v>
      </c>
      <c r="Y47" s="3" t="n">
        <v>0</v>
      </c>
      <c r="Z47" s="3" t="n">
        <v>6500</v>
      </c>
      <c r="AA47" s="3" t="n">
        <v>6525</v>
      </c>
      <c r="AB47" s="3">
        <f>GBlackScholes(P47,Z47,L47,S47/245,X47,Y47,R47)</f>
        <v/>
      </c>
      <c r="AC47" s="3">
        <f>GBlackScholes(P47,AA47,L47,(S47+1)/245,X47,Y47,R47)</f>
        <v/>
      </c>
      <c r="AD47" s="3">
        <f>IF(I47="卖出",(AB47-AC47)*K47,(AC47-AB47)*K47)</f>
        <v/>
      </c>
      <c r="AE47" s="3" t="n">
        <v>234</v>
      </c>
      <c r="AF47" s="3" t="s">
        <v>119</v>
      </c>
      <c r="AG47" s="3">
        <f>AB47</f>
        <v/>
      </c>
      <c r="AH47" s="3" t="n">
        <v>-1</v>
      </c>
      <c r="AI47" s="3">
        <f>(AG47-N47)*K47*AH47</f>
        <v/>
      </c>
    </row>
    <row customHeight="1" ht="20" r="48" s="1" spans="1:35">
      <c r="A48" s="8" t="s">
        <v>35</v>
      </c>
      <c r="B48" s="8" t="s">
        <v>50</v>
      </c>
      <c r="C48" s="8" t="s">
        <v>37</v>
      </c>
      <c r="D48" s="8" t="s">
        <v>120</v>
      </c>
      <c r="E48" s="8" t="s">
        <v>39</v>
      </c>
      <c r="F48" s="18" t="n">
        <v>43829</v>
      </c>
      <c r="G48" s="18" t="n">
        <v>43958</v>
      </c>
      <c r="H48" s="8" t="s">
        <v>121</v>
      </c>
      <c r="I48" s="8" t="s">
        <v>58</v>
      </c>
      <c r="J48" s="8" t="s">
        <v>122</v>
      </c>
      <c r="K48" s="8" t="n">
        <v>17500</v>
      </c>
      <c r="L48" s="8" t="n">
        <v>1906.72</v>
      </c>
      <c r="M48" s="8" t="n">
        <v>1906.72</v>
      </c>
      <c r="N48" s="8" t="n">
        <v>56</v>
      </c>
      <c r="O48" s="8">
        <f>N48*K48</f>
        <v/>
      </c>
      <c r="P48" s="8" t="s">
        <v>43</v>
      </c>
      <c r="Q48" s="8" t="s">
        <v>61</v>
      </c>
      <c r="R48" s="10" t="s">
        <v>123</v>
      </c>
      <c r="S48" s="8" t="n">
        <v>81</v>
      </c>
      <c r="T48" s="8" t="s">
        <v>45</v>
      </c>
      <c r="U48" s="18" t="n">
        <v>43958</v>
      </c>
      <c r="V48" s="8" t="s">
        <v>46</v>
      </c>
      <c r="W48" s="8" t="s">
        <v>47</v>
      </c>
      <c r="X48" s="10" t="n">
        <v>0.045</v>
      </c>
      <c r="Y48" s="8" t="n">
        <v>0</v>
      </c>
      <c r="Z48" s="8" t="n">
        <v>0</v>
      </c>
      <c r="AA48" s="8" t="n">
        <v>0</v>
      </c>
      <c r="AB48" s="8" t="n"/>
      <c r="AC48" s="8" t="n"/>
      <c r="AD48" s="8">
        <f>IF(I48="卖出",(AB48-AC48)*K48,(AC48-AB48)*K48)</f>
        <v/>
      </c>
      <c r="AE48" s="3" t="n">
        <v>235</v>
      </c>
      <c r="AF48" s="3" t="s">
        <v>124</v>
      </c>
      <c r="AG48" s="8">
        <f>AB48</f>
        <v/>
      </c>
      <c r="AH48" s="3" t="n">
        <v>-1</v>
      </c>
      <c r="AI48" s="3">
        <f>(AG48-N48)*K48*AH48</f>
        <v/>
      </c>
    </row>
    <row customHeight="1" ht="20" r="49" s="1" spans="1:35">
      <c r="A49" s="3" t="s">
        <v>35</v>
      </c>
      <c r="B49" s="3" t="s">
        <v>50</v>
      </c>
      <c r="C49" s="3" t="s">
        <v>37</v>
      </c>
      <c r="D49" s="4" t="s">
        <v>80</v>
      </c>
      <c r="E49" s="3" t="s">
        <v>52</v>
      </c>
      <c r="F49" s="17" t="n">
        <v>43830</v>
      </c>
      <c r="G49" s="17" t="n">
        <v>43861</v>
      </c>
      <c r="H49" s="3" t="s">
        <v>94</v>
      </c>
      <c r="I49" s="3" t="s">
        <v>41</v>
      </c>
      <c r="J49" s="3" t="s">
        <v>64</v>
      </c>
      <c r="K49" s="3" t="n">
        <v>50</v>
      </c>
      <c r="L49" s="3" t="n">
        <v>51400</v>
      </c>
      <c r="M49" s="3" t="n">
        <v>49420</v>
      </c>
      <c r="N49" s="3" t="n">
        <v>205.115</v>
      </c>
      <c r="O49" s="3">
        <f>N49*K49</f>
        <v/>
      </c>
      <c r="P49" s="3" t="s">
        <v>60</v>
      </c>
      <c r="Q49" s="3" t="s">
        <v>44</v>
      </c>
      <c r="R49" s="6" t="n">
        <v>0.152</v>
      </c>
      <c r="S49" s="3" t="n">
        <v>16</v>
      </c>
      <c r="T49" s="3" t="s">
        <v>45</v>
      </c>
      <c r="U49" s="17" t="n">
        <v>43861</v>
      </c>
      <c r="V49" s="3" t="s">
        <v>46</v>
      </c>
      <c r="W49" s="3" t="s">
        <v>47</v>
      </c>
      <c r="X49" s="6" t="n">
        <v>0.045</v>
      </c>
      <c r="Y49" s="3" t="n">
        <v>0</v>
      </c>
      <c r="Z49" s="3" t="n">
        <v>49350</v>
      </c>
      <c r="AA49" s="3" t="n">
        <v>49280</v>
      </c>
      <c r="AB49" s="3">
        <f>GBlackScholes(P49,Z49,L49,S49/245,X49,Y49,R49)</f>
        <v/>
      </c>
      <c r="AC49" s="3">
        <f>GBlackScholes(P49,AA49,L49,(S49+1)/245,X49,Y49,R49)</f>
        <v/>
      </c>
      <c r="AD49" s="3">
        <f>IF(I49="卖出",(AB49-AC49)*K49,(AC49-AB49)*K49)</f>
        <v/>
      </c>
      <c r="AE49" s="3" t="n">
        <v>237</v>
      </c>
      <c r="AF49" s="3" t="s">
        <v>125</v>
      </c>
      <c r="AG49" s="3">
        <f>AB49</f>
        <v/>
      </c>
      <c r="AH49" s="3" t="n">
        <v>1</v>
      </c>
      <c r="AI49" s="3">
        <f>(AG49-N49)*K49*AH49</f>
        <v/>
      </c>
    </row>
    <row customHeight="1" ht="20" r="50" s="1" spans="1:35">
      <c r="A50" s="3" t="s">
        <v>35</v>
      </c>
      <c r="B50" s="3" t="s">
        <v>50</v>
      </c>
      <c r="C50" s="3" t="s">
        <v>37</v>
      </c>
      <c r="D50" s="4" t="s">
        <v>80</v>
      </c>
      <c r="E50" s="3" t="s">
        <v>52</v>
      </c>
      <c r="F50" s="17" t="n">
        <v>43830</v>
      </c>
      <c r="G50" s="17" t="n">
        <v>43861</v>
      </c>
      <c r="H50" s="3" t="s">
        <v>94</v>
      </c>
      <c r="I50" s="3" t="s">
        <v>41</v>
      </c>
      <c r="J50" s="3" t="s">
        <v>42</v>
      </c>
      <c r="K50" s="3" t="n">
        <v>50</v>
      </c>
      <c r="L50" s="3" t="n">
        <v>47440</v>
      </c>
      <c r="M50" s="3" t="n">
        <v>49420</v>
      </c>
      <c r="N50" s="3" t="n">
        <v>205.115</v>
      </c>
      <c r="O50" s="3">
        <f>N50*K50</f>
        <v/>
      </c>
      <c r="P50" s="3" t="s">
        <v>43</v>
      </c>
      <c r="Q50" s="3" t="s">
        <v>44</v>
      </c>
      <c r="R50" s="6" t="n">
        <v>0.152</v>
      </c>
      <c r="S50" s="3" t="n">
        <v>16</v>
      </c>
      <c r="T50" s="3" t="s">
        <v>45</v>
      </c>
      <c r="U50" s="17" t="n">
        <v>43861</v>
      </c>
      <c r="V50" s="3" t="s">
        <v>46</v>
      </c>
      <c r="W50" s="3" t="s">
        <v>47</v>
      </c>
      <c r="X50" s="6" t="n">
        <v>0.045</v>
      </c>
      <c r="Y50" s="3" t="n">
        <v>0</v>
      </c>
      <c r="Z50" s="3" t="n">
        <v>49350</v>
      </c>
      <c r="AA50" s="3" t="n">
        <v>49280</v>
      </c>
      <c r="AB50" s="3">
        <f>GBlackScholes(P50,Z50,L50,S50/245,X50,Y50,R50)</f>
        <v/>
      </c>
      <c r="AC50" s="3">
        <f>GBlackScholes(P50,AA50,L50,(S50+1)/245,X50,Y50,R50)</f>
        <v/>
      </c>
      <c r="AD50" s="3">
        <f>IF(I50="卖出",(AB50-AC50)*K50,(AC50-AB50)*K50)</f>
        <v/>
      </c>
      <c r="AE50" s="3" t="n">
        <v>237</v>
      </c>
      <c r="AF50" s="3" t="s">
        <v>125</v>
      </c>
      <c r="AG50" s="3">
        <f>AB50</f>
        <v/>
      </c>
      <c r="AH50" s="3" t="n">
        <v>1</v>
      </c>
      <c r="AI50" s="3">
        <f>(AG50-N50)*K50*AH50</f>
        <v/>
      </c>
    </row>
    <row customHeight="1" ht="20" r="51" s="1" spans="1:35">
      <c r="A51" s="3" t="s">
        <v>49</v>
      </c>
      <c r="B51" s="3" t="s">
        <v>36</v>
      </c>
      <c r="C51" s="3" t="s">
        <v>126</v>
      </c>
      <c r="D51" s="7" t="s">
        <v>127</v>
      </c>
      <c r="E51" s="3" t="s">
        <v>39</v>
      </c>
      <c r="F51" s="17" t="n">
        <v>43832</v>
      </c>
      <c r="G51" s="17" t="n">
        <v>43894</v>
      </c>
      <c r="H51" s="3" t="s">
        <v>100</v>
      </c>
      <c r="I51" s="3" t="s">
        <v>58</v>
      </c>
      <c r="J51" s="3" t="s">
        <v>64</v>
      </c>
      <c r="K51" s="3" t="n">
        <v>800</v>
      </c>
      <c r="L51" s="3" t="n">
        <v>6814.8</v>
      </c>
      <c r="M51" s="3" t="n">
        <v>6310</v>
      </c>
      <c r="N51" s="3" t="n">
        <v>47.35</v>
      </c>
      <c r="O51" s="3">
        <f>N51*K51</f>
        <v/>
      </c>
      <c r="P51" s="3" t="s">
        <v>60</v>
      </c>
      <c r="Q51" s="3" t="s">
        <v>61</v>
      </c>
      <c r="R51" s="6" t="n">
        <v>0.2</v>
      </c>
      <c r="S51" s="3" t="n">
        <v>39</v>
      </c>
      <c r="T51" s="3" t="s">
        <v>45</v>
      </c>
      <c r="U51" s="17" t="n">
        <v>43894</v>
      </c>
      <c r="V51" s="3" t="s">
        <v>46</v>
      </c>
      <c r="W51" s="3" t="s">
        <v>47</v>
      </c>
      <c r="X51" s="6" t="n">
        <v>0.045</v>
      </c>
      <c r="Y51" s="3" t="n">
        <v>0</v>
      </c>
      <c r="Z51" s="3" t="n">
        <v>6352</v>
      </c>
      <c r="AA51" s="3" t="n">
        <v>6362</v>
      </c>
      <c r="AB51" s="3">
        <f>GBlackScholes(P51,Z51,L51,S51/245,X51,Y51,R51)</f>
        <v/>
      </c>
      <c r="AC51" s="12" t="n">
        <v>47.35</v>
      </c>
      <c r="AD51" s="3">
        <f>IF(I51="卖出",(AB51-AC51)*K51,(AC51-AB51)*K51)</f>
        <v/>
      </c>
      <c r="AE51" s="3" t="n">
        <v>238</v>
      </c>
      <c r="AF51" s="3" t="s">
        <v>128</v>
      </c>
      <c r="AG51" s="3">
        <f>AB51</f>
        <v/>
      </c>
      <c r="AH51" s="3" t="n">
        <v>-1</v>
      </c>
      <c r="AI51" s="3">
        <f>(AG51-N51)*K51*AH51</f>
        <v/>
      </c>
    </row>
    <row customHeight="1" ht="20" r="52" s="1" spans="1:35">
      <c r="A52" s="3" t="s">
        <v>49</v>
      </c>
      <c r="B52" s="3" t="s">
        <v>36</v>
      </c>
      <c r="C52" s="3" t="s">
        <v>126</v>
      </c>
      <c r="D52" s="7" t="s">
        <v>127</v>
      </c>
      <c r="E52" s="3" t="s">
        <v>39</v>
      </c>
      <c r="F52" s="17" t="n">
        <v>43832</v>
      </c>
      <c r="G52" s="17" t="n">
        <v>43894</v>
      </c>
      <c r="H52" s="3" t="s">
        <v>100</v>
      </c>
      <c r="I52" s="3" t="s">
        <v>58</v>
      </c>
      <c r="J52" s="3" t="s">
        <v>42</v>
      </c>
      <c r="K52" s="3" t="n">
        <v>800</v>
      </c>
      <c r="L52" s="3" t="n">
        <v>5805.2</v>
      </c>
      <c r="M52" s="3" t="n">
        <v>6310</v>
      </c>
      <c r="N52" s="3" t="n">
        <v>37.55</v>
      </c>
      <c r="O52" s="3">
        <f>N52*K52</f>
        <v/>
      </c>
      <c r="P52" s="3" t="s">
        <v>43</v>
      </c>
      <c r="Q52" s="3" t="s">
        <v>61</v>
      </c>
      <c r="R52" s="6" t="n">
        <v>0.2</v>
      </c>
      <c r="S52" s="3" t="n">
        <v>39</v>
      </c>
      <c r="T52" s="3" t="s">
        <v>45</v>
      </c>
      <c r="U52" s="17" t="n">
        <v>43894</v>
      </c>
      <c r="V52" s="3" t="s">
        <v>46</v>
      </c>
      <c r="W52" s="3" t="s">
        <v>47</v>
      </c>
      <c r="X52" s="6" t="n">
        <v>0.045</v>
      </c>
      <c r="Y52" s="3" t="n">
        <v>0</v>
      </c>
      <c r="Z52" s="3" t="n">
        <v>6352</v>
      </c>
      <c r="AA52" s="3" t="n">
        <v>6362</v>
      </c>
      <c r="AB52" s="3">
        <f>GBlackScholes(P52,Z52,L52,S52/245,X52,Y52,R52)</f>
        <v/>
      </c>
      <c r="AC52" s="12" t="n">
        <v>37.55</v>
      </c>
      <c r="AD52" s="3">
        <f>IF(I52="卖出",(AB52-AC52)*K52,(AC52-AB52)*K52)</f>
        <v/>
      </c>
      <c r="AE52" s="3" t="n">
        <v>238</v>
      </c>
      <c r="AF52" s="3" t="s">
        <v>128</v>
      </c>
      <c r="AG52" s="3">
        <f>AB52</f>
        <v/>
      </c>
      <c r="AH52" s="3" t="n">
        <v>-1</v>
      </c>
      <c r="AI52" s="3">
        <f>(AG52-N52)*K52*AH52</f>
        <v/>
      </c>
    </row>
    <row customHeight="1" ht="20" r="53" s="1" spans="1:35">
      <c r="A53" s="8" t="s">
        <v>35</v>
      </c>
      <c r="B53" s="8" t="s">
        <v>50</v>
      </c>
      <c r="C53" s="8" t="s">
        <v>126</v>
      </c>
      <c r="D53" s="8" t="s">
        <v>129</v>
      </c>
      <c r="E53" s="8" t="s">
        <v>39</v>
      </c>
      <c r="F53" s="18" t="n">
        <v>43832</v>
      </c>
      <c r="G53" s="18" t="n">
        <v>43845</v>
      </c>
      <c r="H53" s="8" t="s">
        <v>40</v>
      </c>
      <c r="I53" s="8" t="s">
        <v>58</v>
      </c>
      <c r="J53" s="8" t="s">
        <v>130</v>
      </c>
      <c r="K53" s="8" t="n">
        <v>8120.9</v>
      </c>
      <c r="L53" s="8" t="n">
        <v>1918</v>
      </c>
      <c r="M53" s="8" t="n">
        <v>1918</v>
      </c>
      <c r="N53" s="8" t="n">
        <v>22.68</v>
      </c>
      <c r="O53" s="8">
        <f>N53*K53</f>
        <v/>
      </c>
      <c r="P53" s="8" t="s">
        <v>60</v>
      </c>
      <c r="Q53" s="8" t="s">
        <v>61</v>
      </c>
      <c r="R53" s="10" t="n">
        <v>0.18</v>
      </c>
      <c r="S53" s="8" t="n">
        <v>9</v>
      </c>
      <c r="T53" s="8" t="s">
        <v>45</v>
      </c>
      <c r="U53" s="18" t="n">
        <v>43845</v>
      </c>
      <c r="V53" s="8" t="s">
        <v>46</v>
      </c>
      <c r="W53" s="8" t="s">
        <v>47</v>
      </c>
      <c r="X53" s="10" t="n">
        <v>0.045</v>
      </c>
      <c r="Y53" s="8" t="n">
        <v>0</v>
      </c>
      <c r="Z53" s="8" t="n">
        <v>1918</v>
      </c>
      <c r="AA53" s="8" t="n">
        <v>1910</v>
      </c>
      <c r="AB53" s="8" t="n"/>
      <c r="AC53" s="8" t="n"/>
      <c r="AD53" s="8">
        <f>IF(I53="卖出",(AB53-AC53)*K53,(AC53-AB53)*K53)</f>
        <v/>
      </c>
      <c r="AE53" s="3" t="n">
        <v>238</v>
      </c>
      <c r="AF53" s="3" t="s">
        <v>131</v>
      </c>
      <c r="AG53" s="8">
        <f>AB53</f>
        <v/>
      </c>
      <c r="AH53" s="3" t="n">
        <v>-1</v>
      </c>
      <c r="AI53" s="3">
        <f>(AG53-N53)*K53*AH53</f>
        <v/>
      </c>
    </row>
    <row r="54" spans="1:35">
      <c r="AD54" s="13">
        <f>SUM(AD2:AD53)</f>
        <v/>
      </c>
      <c r="AI54" s="14">
        <f>SUM(AI2:AI53)</f>
        <v/>
      </c>
    </row>
    <row customHeight="1" ht="20" r="59" s="1" spans="1:35">
      <c r="A59" s="3" t="s">
        <v>75</v>
      </c>
      <c r="B59" s="3" t="s">
        <v>36</v>
      </c>
      <c r="C59" s="3" t="s">
        <v>132</v>
      </c>
      <c r="D59" s="11" t="s">
        <v>83</v>
      </c>
      <c r="E59" s="3" t="s">
        <v>39</v>
      </c>
      <c r="F59" s="17" t="n">
        <v>43801</v>
      </c>
      <c r="G59" s="17" t="n">
        <v>43832</v>
      </c>
      <c r="H59" s="3" t="s">
        <v>133</v>
      </c>
      <c r="I59" s="3" t="s">
        <v>58</v>
      </c>
      <c r="J59" s="3" t="s">
        <v>42</v>
      </c>
      <c r="K59" s="3" t="n">
        <v>2000</v>
      </c>
      <c r="L59" s="3" t="n">
        <v>1406</v>
      </c>
      <c r="M59" s="3" t="n">
        <v>1406</v>
      </c>
      <c r="N59" s="3" t="n">
        <v>23.9</v>
      </c>
      <c r="O59" s="3">
        <f>N59*K59</f>
        <v/>
      </c>
      <c r="P59" s="3" t="s">
        <v>43</v>
      </c>
      <c r="Q59" s="3" t="s">
        <v>61</v>
      </c>
      <c r="R59" s="6" t="n">
        <v>0.1425</v>
      </c>
      <c r="S59" s="3" t="n">
        <v>0</v>
      </c>
      <c r="T59" s="3" t="s">
        <v>45</v>
      </c>
      <c r="U59" s="17" t="n">
        <v>43832</v>
      </c>
      <c r="V59" s="3" t="s">
        <v>46</v>
      </c>
      <c r="W59" s="3" t="s">
        <v>47</v>
      </c>
      <c r="X59" s="6" t="n">
        <v>0.045</v>
      </c>
      <c r="Y59" s="3" t="n">
        <v>0</v>
      </c>
      <c r="Z59" s="3" t="n">
        <v>1488</v>
      </c>
      <c r="AA59" s="3" t="n">
        <v>1479</v>
      </c>
      <c r="AB59" s="12">
        <f>IF(P59="C",MAX(1488-L59, 0), MAX(L59-1488, 0)  )</f>
        <v/>
      </c>
      <c r="AC59" s="3">
        <f>GBlackScholes(P59,AA59,L59,(S59+1)/245,X59,Y59,R59)</f>
        <v/>
      </c>
      <c r="AD59" s="3">
        <f>IF(I59="卖出",(AB59-AC59)*K59,(AC59-AB59)*K59)</f>
        <v/>
      </c>
      <c r="AE59" s="3" t="n">
        <v>204</v>
      </c>
      <c r="AF59" s="3" t="s">
        <v>134</v>
      </c>
      <c r="AG59" s="3">
        <f>AB59</f>
        <v/>
      </c>
      <c r="AH59" s="3" t="n">
        <v>-1</v>
      </c>
      <c r="AI59" s="3">
        <f>(AG59-N59)*K59*AH59</f>
        <v/>
      </c>
    </row>
    <row r="60" spans="1:35">
      <c r="AD60" s="13">
        <f>SUM(AD59:AD59)</f>
        <v/>
      </c>
      <c r="AI60" s="14">
        <f>SUM(AI59:AI59)</f>
        <v/>
      </c>
    </row>
    <row r="61" spans="1:35">
      <c r="AF61" s="15">
        <f>AD54+AD60</f>
        <v/>
      </c>
      <c r="AI61" s="16">
        <f>AI54+AI60</f>
        <v/>
      </c>
    </row>
    <row r="67" spans="1:35">
      <c r="E67" t="s">
        <v>135</v>
      </c>
    </row>
    <row r="68" spans="1:35">
      <c r="A68" t="s">
        <v>35</v>
      </c>
      <c r="B68" t="s">
        <v>40</v>
      </c>
      <c r="E68">
        <f> AD2+AD53</f>
        <v/>
      </c>
    </row>
    <row r="69" spans="1:35">
      <c r="B69" t="s">
        <v>81</v>
      </c>
      <c r="E69">
        <f> AD16+AD17</f>
        <v/>
      </c>
    </row>
    <row r="70" spans="1:35">
      <c r="B70" t="s">
        <v>94</v>
      </c>
      <c r="E70">
        <f> AD26+AD27+AD33+AD34+AD49+AD50</f>
        <v/>
      </c>
    </row>
    <row r="71" spans="1:35">
      <c r="B71" t="s">
        <v>100</v>
      </c>
      <c r="E71">
        <f> AD31</f>
        <v/>
      </c>
    </row>
    <row r="72" spans="1:35">
      <c r="B72" t="s">
        <v>113</v>
      </c>
      <c r="E72">
        <f> AD40+AD41</f>
        <v/>
      </c>
    </row>
    <row r="73" spans="1:35">
      <c r="B73" t="s">
        <v>121</v>
      </c>
      <c r="E73">
        <f> AD48</f>
        <v/>
      </c>
    </row>
    <row r="74" spans="1:35">
      <c r="A74" t="s">
        <v>49</v>
      </c>
      <c r="B74" t="s">
        <v>53</v>
      </c>
      <c r="E74">
        <f> AD3+AD4+AD11+AD20+AD21+AD22+AD38+AD39+AD42+AD43</f>
        <v/>
      </c>
    </row>
    <row r="75" spans="1:35">
      <c r="B75" t="s">
        <v>57</v>
      </c>
      <c r="E75">
        <f> AD5+AD6+AD7+AD8+AD12+AD13</f>
        <v/>
      </c>
    </row>
    <row r="76" spans="1:35">
      <c r="B76" t="s">
        <v>67</v>
      </c>
      <c r="E76">
        <f> AD9</f>
        <v/>
      </c>
    </row>
    <row r="77" spans="1:35">
      <c r="B77" t="s">
        <v>70</v>
      </c>
      <c r="E77">
        <f> AD10</f>
        <v/>
      </c>
    </row>
    <row r="78" spans="1:35">
      <c r="B78" t="s">
        <v>84</v>
      </c>
      <c r="E78">
        <f> AD18+AD19+AD24+AD25+AD35+AD36+AD44+AD45+AD46+AD47</f>
        <v/>
      </c>
    </row>
    <row r="79" spans="1:35">
      <c r="B79" t="s">
        <v>100</v>
      </c>
      <c r="E79">
        <f> AD29+AD30+AD51+AD52</f>
        <v/>
      </c>
    </row>
    <row r="80" spans="1:35">
      <c r="B80" t="s">
        <v>104</v>
      </c>
      <c r="E80">
        <f> AD32</f>
        <v/>
      </c>
    </row>
    <row r="81" spans="1:35">
      <c r="A81" t="s">
        <v>75</v>
      </c>
      <c r="B81" t="s">
        <v>77</v>
      </c>
      <c r="E81">
        <f> AD14+AD15</f>
        <v/>
      </c>
    </row>
    <row r="82" spans="1:35">
      <c r="B82" t="s">
        <v>91</v>
      </c>
      <c r="E82">
        <f> AD23</f>
        <v/>
      </c>
    </row>
    <row r="83" spans="1:35">
      <c r="B83" t="s">
        <v>97</v>
      </c>
      <c r="E83">
        <f> AD28</f>
        <v/>
      </c>
    </row>
    <row r="84" spans="1:35">
      <c r="B84" t="s">
        <v>133</v>
      </c>
      <c r="E84">
        <f> AD59</f>
        <v/>
      </c>
    </row>
    <row r="85" spans="1:35">
      <c r="A85" t="s">
        <v>108</v>
      </c>
      <c r="B85" t="s">
        <v>40</v>
      </c>
      <c r="E85">
        <f> AD37</f>
        <v/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H48"/>
  <sheetViews>
    <sheetView tabSelected="1" workbookViewId="0">
      <selection activeCell="H21" sqref="H21"/>
    </sheetView>
  </sheetViews>
  <sheetFormatPr baseColWidth="8" defaultRowHeight="14.25" outlineLevelCol="0"/>
  <cols>
    <col customWidth="1" max="3" min="3" style="1" width="15"/>
    <col customWidth="1" max="4" min="4" style="1" width="15"/>
    <col customWidth="1" max="5" min="5" style="1" width="15"/>
    <col customWidth="1" max="6" min="6" style="1" width="15"/>
    <col customWidth="1" max="7" min="7" style="1" width="15"/>
    <col customWidth="1" max="8" min="8" style="1" width="15"/>
  </cols>
  <sheetData>
    <row r="1" spans="1:8">
      <c r="C1" s="19" t="s">
        <v>136</v>
      </c>
      <c r="D1" s="19" t="s">
        <v>137</v>
      </c>
      <c r="E1" s="19" t="s">
        <v>138</v>
      </c>
      <c r="F1" s="19" t="s">
        <v>135</v>
      </c>
      <c r="G1" s="19" t="s">
        <v>139</v>
      </c>
      <c r="H1" s="19" t="s">
        <v>140</v>
      </c>
    </row>
    <row r="2" spans="1:8">
      <c r="C2" s="20" t="s">
        <v>141</v>
      </c>
      <c r="D2" s="21" t="n">
        <v>0</v>
      </c>
      <c r="E2" s="21" t="n">
        <v>0</v>
      </c>
      <c r="F2" s="21" t="n">
        <v>0</v>
      </c>
      <c r="G2" s="21" t="n">
        <v>0</v>
      </c>
      <c r="H2" s="21" t="n">
        <v>0</v>
      </c>
    </row>
    <row r="3" spans="1:8">
      <c r="C3" s="20" t="s">
        <v>142</v>
      </c>
      <c r="D3" s="21" t="n">
        <v>-34000</v>
      </c>
      <c r="E3" s="21" t="n">
        <v>-8980</v>
      </c>
      <c r="F3" s="21" t="n">
        <v>-42980</v>
      </c>
      <c r="G3" s="21" t="n">
        <v>668.02</v>
      </c>
      <c r="H3" s="21" t="n">
        <v>-43648.02</v>
      </c>
    </row>
    <row r="4" spans="1:8">
      <c r="C4" s="20" t="s">
        <v>143</v>
      </c>
      <c r="D4" s="21" t="n">
        <v>915</v>
      </c>
      <c r="E4" s="21" t="n">
        <v>150825</v>
      </c>
      <c r="F4" s="21" t="n">
        <v>151740</v>
      </c>
      <c r="G4" s="21" t="n">
        <v>109.93</v>
      </c>
      <c r="H4" s="21" t="n">
        <v>151630.07</v>
      </c>
    </row>
    <row r="5" spans="1:8">
      <c r="C5" s="20" t="s">
        <v>144</v>
      </c>
      <c r="D5" s="21" t="n">
        <v>0</v>
      </c>
      <c r="E5" s="21" t="n">
        <v>22940</v>
      </c>
      <c r="F5" s="21" t="n">
        <v>22940</v>
      </c>
      <c r="G5" s="21" t="n">
        <v>0</v>
      </c>
      <c r="H5" s="21" t="n">
        <v>22940</v>
      </c>
    </row>
    <row r="6" spans="1:8">
      <c r="C6" s="20" t="s">
        <v>145</v>
      </c>
      <c r="D6" s="21" t="n">
        <v>0</v>
      </c>
      <c r="E6" s="21" t="n">
        <v>-300</v>
      </c>
      <c r="F6" s="21" t="n">
        <v>-300</v>
      </c>
      <c r="G6" s="21" t="n">
        <v>0</v>
      </c>
      <c r="H6" s="21" t="n">
        <v>-300</v>
      </c>
    </row>
    <row r="7" spans="1:8">
      <c r="C7" s="20" t="s">
        <v>146</v>
      </c>
      <c r="D7" s="21" t="n">
        <v>0</v>
      </c>
      <c r="E7" s="21" t="n">
        <v>0</v>
      </c>
      <c r="F7" s="21" t="n">
        <v>0</v>
      </c>
      <c r="G7" s="21" t="n">
        <v>0</v>
      </c>
      <c r="H7" s="21" t="n">
        <v>0</v>
      </c>
    </row>
    <row r="8" spans="1:8">
      <c r="C8" s="20" t="s">
        <v>147</v>
      </c>
      <c r="D8" s="21" t="n">
        <v>0</v>
      </c>
      <c r="E8" s="21" t="n">
        <v>0</v>
      </c>
      <c r="F8" s="21" t="n">
        <v>0</v>
      </c>
      <c r="G8" s="21" t="n">
        <v>0</v>
      </c>
      <c r="H8" s="21" t="n">
        <v>0</v>
      </c>
    </row>
    <row r="9" spans="1:8">
      <c r="C9" s="20" t="s">
        <v>148</v>
      </c>
      <c r="D9" s="21" t="n">
        <v>0</v>
      </c>
      <c r="E9" s="21" t="n">
        <v>15080</v>
      </c>
      <c r="F9" s="21" t="n">
        <v>15080</v>
      </c>
      <c r="G9" s="21" t="n">
        <v>0</v>
      </c>
      <c r="H9" s="21" t="n">
        <v>15080</v>
      </c>
    </row>
    <row r="10" spans="1:8">
      <c r="C10" t="s">
        <v>149</v>
      </c>
      <c r="D10" s="22">
        <f>SUM(D2:D9)</f>
        <v/>
      </c>
      <c r="E10" s="22">
        <f>SUM(E2:E9)</f>
        <v/>
      </c>
      <c r="F10" s="22">
        <f>SUM(F2:F9)</f>
        <v/>
      </c>
      <c r="G10" s="22">
        <f>SUM(G2:G9)</f>
        <v/>
      </c>
      <c r="H10" s="22">
        <f>SUM(H2:H9)</f>
        <v/>
      </c>
    </row>
    <row r="12" spans="1:8">
      <c r="C12" t="s">
        <v>150</v>
      </c>
      <c r="D12" t="s">
        <v>137</v>
      </c>
      <c r="E12" t="s">
        <v>135</v>
      </c>
      <c r="F12" t="s">
        <v>139</v>
      </c>
    </row>
    <row r="13" spans="1:8">
      <c r="A13" t="s">
        <v>35</v>
      </c>
      <c r="B13" t="s">
        <v>151</v>
      </c>
      <c r="C13" t="n">
        <v>9220</v>
      </c>
      <c r="D13" t="n">
        <v>-30920</v>
      </c>
      <c r="E13" t="n">
        <v>-21700</v>
      </c>
      <c r="F13" t="n">
        <v>459.2399999999998</v>
      </c>
    </row>
    <row r="14" spans="1:8">
      <c r="B14" t="s">
        <v>152</v>
      </c>
      <c r="C14" t="n">
        <v>-4700</v>
      </c>
      <c r="D14" t="n">
        <v>-3000</v>
      </c>
      <c r="E14" t="n">
        <v>-7700</v>
      </c>
      <c r="F14" t="n">
        <v>92.31000000000006</v>
      </c>
    </row>
    <row r="15" spans="1:8">
      <c r="B15" t="s">
        <v>153</v>
      </c>
      <c r="C15" t="n">
        <v>-3200</v>
      </c>
      <c r="D15" t="n">
        <v>-180</v>
      </c>
      <c r="E15" t="n">
        <v>-3380</v>
      </c>
      <c r="F15" t="n">
        <v>9.09</v>
      </c>
    </row>
    <row r="16" spans="1:8">
      <c r="B16" t="s">
        <v>154</v>
      </c>
      <c r="C16" t="n">
        <v>-3500</v>
      </c>
      <c r="D16" t="n">
        <v>2600</v>
      </c>
      <c r="E16" t="n">
        <v>-900</v>
      </c>
      <c r="F16" t="n">
        <v>39.57000000000001</v>
      </c>
    </row>
    <row r="17" spans="1:8">
      <c r="B17" t="s">
        <v>155</v>
      </c>
      <c r="C17" t="n">
        <v>-6000</v>
      </c>
      <c r="D17" t="n">
        <v>-2500</v>
      </c>
      <c r="E17" t="n">
        <v>-8500</v>
      </c>
      <c r="F17" t="n">
        <v>67.81</v>
      </c>
    </row>
    <row r="18" spans="1:8">
      <c r="B18" t="s">
        <v>156</v>
      </c>
      <c r="C18" t="n">
        <v>-800</v>
      </c>
      <c r="D18" t="n">
        <v>0</v>
      </c>
      <c r="E18" t="n">
        <v>-800</v>
      </c>
      <c r="F18" t="n">
        <v>0</v>
      </c>
    </row>
    <row r="19" spans="1:8">
      <c r="A19" t="s">
        <v>49</v>
      </c>
      <c r="B19" t="s">
        <v>152</v>
      </c>
      <c r="C19" t="n">
        <v>-5000</v>
      </c>
      <c r="D19" t="n">
        <v>400</v>
      </c>
      <c r="E19" t="n">
        <v>-4600</v>
      </c>
      <c r="F19" t="n">
        <v>5.08</v>
      </c>
    </row>
    <row r="20" spans="1:8">
      <c r="B20" t="s">
        <v>157</v>
      </c>
      <c r="C20" t="n">
        <v>4375</v>
      </c>
      <c r="D20" t="n">
        <v>-2625</v>
      </c>
      <c r="E20" t="n">
        <v>1750</v>
      </c>
      <c r="F20" t="n">
        <v>30.29</v>
      </c>
    </row>
    <row r="21" spans="1:8">
      <c r="B21" t="s">
        <v>158</v>
      </c>
      <c r="C21" t="n">
        <v>-2700</v>
      </c>
      <c r="D21" t="n">
        <v>20</v>
      </c>
      <c r="E21" t="n">
        <v>-2680</v>
      </c>
      <c r="F21" t="n">
        <v>16.34</v>
      </c>
    </row>
    <row r="22" spans="1:8">
      <c r="B22" t="s">
        <v>159</v>
      </c>
      <c r="C22" t="n">
        <v>-16100</v>
      </c>
      <c r="D22" t="n">
        <v>3120</v>
      </c>
      <c r="E22" t="n">
        <v>-12980</v>
      </c>
      <c r="F22" t="n">
        <v>58.22</v>
      </c>
    </row>
    <row r="23" spans="1:8">
      <c r="B23" t="s">
        <v>160</v>
      </c>
      <c r="C23" t="n">
        <v>7500</v>
      </c>
      <c r="D23" t="n">
        <v>0</v>
      </c>
      <c r="E23" t="n">
        <v>7500</v>
      </c>
      <c r="F23" t="n">
        <v>0</v>
      </c>
    </row>
    <row r="24" spans="1:8">
      <c r="B24" t="s">
        <v>161</v>
      </c>
      <c r="C24" t="n">
        <v>162750</v>
      </c>
      <c r="D24" t="n">
        <v>0</v>
      </c>
      <c r="E24" t="n">
        <v>162750</v>
      </c>
      <c r="F24" t="n">
        <v>0</v>
      </c>
    </row>
    <row r="25" spans="1:8">
      <c r="A25" t="s">
        <v>75</v>
      </c>
      <c r="B25" t="s">
        <v>162</v>
      </c>
      <c r="C25" t="n">
        <v>19840</v>
      </c>
      <c r="D25" t="n">
        <v>0</v>
      </c>
      <c r="E25" t="n">
        <v>19840</v>
      </c>
      <c r="F25" t="n">
        <v>0</v>
      </c>
    </row>
    <row r="26" spans="1:8">
      <c r="B26" t="s">
        <v>154</v>
      </c>
      <c r="C26" t="n">
        <v>-3500</v>
      </c>
      <c r="D26" t="n">
        <v>0</v>
      </c>
      <c r="E26" t="n">
        <v>-3500</v>
      </c>
      <c r="F26" t="n">
        <v>0</v>
      </c>
    </row>
    <row r="27" spans="1:8">
      <c r="B27" t="s">
        <v>163</v>
      </c>
      <c r="C27" t="n">
        <v>6600</v>
      </c>
      <c r="D27" t="n">
        <v>0</v>
      </c>
      <c r="E27" t="n">
        <v>6600</v>
      </c>
      <c r="F27" t="n">
        <v>0</v>
      </c>
    </row>
    <row r="32" spans="1:8">
      <c r="A32" t="s">
        <v>35</v>
      </c>
      <c r="B32" t="s">
        <v>164</v>
      </c>
      <c r="C32" t="n">
        <v>-27500</v>
      </c>
      <c r="D32" t="n">
        <v>-930</v>
      </c>
      <c r="E32" t="n">
        <v>-28430</v>
      </c>
      <c r="F32" t="n">
        <v>32.8</v>
      </c>
    </row>
    <row r="33" spans="1:8">
      <c r="B33" t="s">
        <v>100</v>
      </c>
      <c r="C33" t="n">
        <v>-4700</v>
      </c>
      <c r="D33" t="n">
        <v>-3000</v>
      </c>
      <c r="E33" t="n">
        <v>-7700</v>
      </c>
      <c r="F33" t="n">
        <v>92.31000000000006</v>
      </c>
    </row>
    <row r="34" spans="1:8">
      <c r="B34" t="s">
        <v>40</v>
      </c>
      <c r="C34" t="n">
        <v>36720</v>
      </c>
      <c r="D34" t="n">
        <v>-29990</v>
      </c>
      <c r="E34" t="n">
        <v>6730</v>
      </c>
      <c r="F34" t="n">
        <v>426.4399999999999</v>
      </c>
    </row>
    <row r="35" spans="1:8">
      <c r="B35" t="s">
        <v>165</v>
      </c>
      <c r="C35" t="n">
        <v>-3200</v>
      </c>
      <c r="D35" t="n">
        <v>-180</v>
      </c>
      <c r="E35" t="n">
        <v>-3380</v>
      </c>
      <c r="F35" t="n">
        <v>9.09</v>
      </c>
    </row>
    <row r="36" spans="1:8">
      <c r="B36" t="s">
        <v>91</v>
      </c>
      <c r="C36" t="n">
        <v>-3500</v>
      </c>
      <c r="D36" t="n">
        <v>2600</v>
      </c>
      <c r="E36" t="n">
        <v>-900</v>
      </c>
      <c r="F36" t="n">
        <v>39.57000000000001</v>
      </c>
    </row>
    <row r="37" spans="1:8">
      <c r="B37" t="s">
        <v>113</v>
      </c>
      <c r="C37" t="n">
        <v>-6000</v>
      </c>
      <c r="D37" t="n">
        <v>-2500</v>
      </c>
      <c r="E37" t="n">
        <v>-8500</v>
      </c>
      <c r="F37" t="n">
        <v>67.81</v>
      </c>
    </row>
    <row r="38" spans="1:8">
      <c r="B38" t="s">
        <v>81</v>
      </c>
      <c r="C38" t="n">
        <v>-800</v>
      </c>
      <c r="D38" t="n">
        <v>0</v>
      </c>
      <c r="E38" t="n">
        <v>-800</v>
      </c>
      <c r="F38" t="n">
        <v>0</v>
      </c>
    </row>
    <row r="39" spans="1:8">
      <c r="A39" t="s">
        <v>49</v>
      </c>
      <c r="B39" t="s">
        <v>100</v>
      </c>
      <c r="C39" t="n">
        <v>-5000</v>
      </c>
      <c r="D39" t="n">
        <v>400</v>
      </c>
      <c r="E39" t="n">
        <v>-4600</v>
      </c>
      <c r="F39" t="n">
        <v>5.08</v>
      </c>
    </row>
    <row r="40" spans="1:8">
      <c r="B40" t="s">
        <v>84</v>
      </c>
      <c r="C40" t="n">
        <v>4375</v>
      </c>
      <c r="D40" t="n">
        <v>-2625</v>
      </c>
      <c r="E40" t="n">
        <v>1750</v>
      </c>
      <c r="F40" t="n">
        <v>30.29</v>
      </c>
    </row>
    <row r="41" spans="1:8">
      <c r="B41" t="s">
        <v>104</v>
      </c>
      <c r="C41" t="n">
        <v>-2700</v>
      </c>
      <c r="D41" t="n">
        <v>20</v>
      </c>
      <c r="E41" t="n">
        <v>-2680</v>
      </c>
      <c r="F41" t="n">
        <v>16.34</v>
      </c>
    </row>
    <row r="42" spans="1:8">
      <c r="B42" t="s">
        <v>57</v>
      </c>
      <c r="C42" t="n">
        <v>-16100</v>
      </c>
      <c r="D42" t="n">
        <v>3120</v>
      </c>
      <c r="E42" t="n">
        <v>-12980</v>
      </c>
      <c r="F42" t="n">
        <v>58.22</v>
      </c>
    </row>
    <row r="43" spans="1:8">
      <c r="B43" t="s">
        <v>67</v>
      </c>
      <c r="C43" t="n">
        <v>22500</v>
      </c>
      <c r="D43" t="n">
        <v>0</v>
      </c>
      <c r="E43" t="n">
        <v>22500</v>
      </c>
      <c r="F43" t="n">
        <v>0</v>
      </c>
    </row>
    <row r="44" spans="1:8">
      <c r="B44" t="s">
        <v>70</v>
      </c>
      <c r="C44" t="n">
        <v>-15000</v>
      </c>
      <c r="D44" t="n">
        <v>0</v>
      </c>
      <c r="E44" t="n">
        <v>-15000</v>
      </c>
      <c r="F44" t="n">
        <v>0</v>
      </c>
    </row>
    <row r="45" spans="1:8">
      <c r="B45" t="s">
        <v>53</v>
      </c>
      <c r="C45" t="n">
        <v>162750</v>
      </c>
      <c r="D45" t="n">
        <v>0</v>
      </c>
      <c r="E45" t="n">
        <v>162750</v>
      </c>
      <c r="F45" t="n">
        <v>0</v>
      </c>
    </row>
    <row r="46" spans="1:8">
      <c r="A46" t="s">
        <v>75</v>
      </c>
      <c r="B46" t="s">
        <v>97</v>
      </c>
      <c r="C46" t="n">
        <v>19840</v>
      </c>
      <c r="D46" t="n">
        <v>0</v>
      </c>
      <c r="E46" t="n">
        <v>19840</v>
      </c>
      <c r="F46" t="n">
        <v>0</v>
      </c>
    </row>
    <row r="47" spans="1:8">
      <c r="B47" t="s">
        <v>91</v>
      </c>
      <c r="C47" t="n">
        <v>-3500</v>
      </c>
      <c r="D47" t="n">
        <v>0</v>
      </c>
      <c r="E47" t="n">
        <v>-3500</v>
      </c>
      <c r="F47" t="n">
        <v>0</v>
      </c>
    </row>
    <row r="48" spans="1:8">
      <c r="B48" t="s">
        <v>77</v>
      </c>
      <c r="C48" t="n">
        <v>6600</v>
      </c>
      <c r="D48" t="n">
        <v>0</v>
      </c>
      <c r="E48" t="n">
        <v>6600</v>
      </c>
      <c r="F48" t="n">
        <v>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>
  <dc:creator xmlns:dc="http://purl.org/dc/elements/1.1/">Windows 用户</dc:creator>
  <dcterms:created xmlns:dcterms="http://purl.org/dc/terms/" xmlns:xsi="http://www.w3.org/2001/XMLSchema-instance" xsi:type="dcterms:W3CDTF">2019-08-14T06:42:31Z</dcterms:created>
  <dcterms:modified xmlns:dcterms="http://purl.org/dc/terms/" xmlns:xsi="http://www.w3.org/2001/XMLSchema-instance" xsi:type="dcterms:W3CDTF">2019-08-23T07:31:21Z</dcterms:modified>
  <cp:lastModifiedBy>Windows 用户</cp:lastModifiedBy>
</cp:coreProperties>
</file>