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>
  <workbookPr codeName="ThisWorkbook"/>
  <bookViews>
    <workbookView activeTab="0" autoFilterDateGrouping="1" firstSheet="0" minimized="0" showHorizontalScroll="1" showSheetTabs="1" showVerticalScroll="1" tabRatio="600" visibility="visible" windowHeight="10605" windowWidth="40695" xWindow="0" yWindow="0"/>
  </bookViews>
  <sheets>
    <sheet xmlns:r="http://schemas.openxmlformats.org/officeDocument/2006/relationships" name="汇总(收盘价)" sheetId="1" state="visible" r:id="rId1"/>
    <sheet xmlns:r="http://schemas.openxmlformats.org/officeDocument/2006/relationships" name="场外期权Greek收盘价" sheetId="2" state="visible" r:id="rId2"/>
    <sheet xmlns:r="http://schemas.openxmlformats.org/officeDocument/2006/relationships" name="场内Greek收盘价" sheetId="3" state="visible" r:id="rId3"/>
    <sheet xmlns:r="http://schemas.openxmlformats.org/officeDocument/2006/relationships" name="场外期权Greek结算价" sheetId="4" state="visible" r:id="rId4"/>
    <sheet xmlns:r="http://schemas.openxmlformats.org/officeDocument/2006/relationships" name="场内Greek结算价" sheetId="5" state="visible" r:id="rId5"/>
    <sheet xmlns:r="http://schemas.openxmlformats.org/officeDocument/2006/relationships" name="汇总(结算价)" sheetId="6" state="visible" r:id="rId6"/>
  </sheets>
  <definedNames/>
  <calcPr calcId="162913" fullCalcOnLoad="1"/>
</workbook>
</file>

<file path=xl/sharedStrings.xml><?xml version="1.0" encoding="utf-8"?>
<sst xmlns="http://schemas.openxmlformats.org/spreadsheetml/2006/main" uniqueCount="136">
  <si>
    <t>总delta</t>
  </si>
  <si>
    <t>Delta</t>
  </si>
  <si>
    <t>Gamma</t>
  </si>
  <si>
    <t>Vega</t>
  </si>
  <si>
    <t>Theta</t>
  </si>
  <si>
    <t>Rho</t>
  </si>
  <si>
    <t>单交易员风控标准</t>
  </si>
  <si>
    <t>是否符合标准</t>
  </si>
  <si>
    <t>谢晨星</t>
  </si>
  <si>
    <t>何剑桥</t>
  </si>
  <si>
    <t>刘剑溥</t>
  </si>
  <si>
    <t>陈俊</t>
  </si>
  <si>
    <t>部门风控标准</t>
  </si>
  <si>
    <t>2000000</t>
  </si>
  <si>
    <t>1000000</t>
  </si>
  <si>
    <t>是否符合风控标准</t>
  </si>
  <si>
    <t>合计</t>
  </si>
  <si>
    <t>交易员</t>
  </si>
  <si>
    <t>代码</t>
  </si>
  <si>
    <t>总计Delta</t>
  </si>
  <si>
    <t>iv</t>
  </si>
  <si>
    <t>风控标准</t>
  </si>
  <si>
    <t>c2005</t>
  </si>
  <si>
    <t>cu2002</t>
  </si>
  <si>
    <t>cu2003</t>
  </si>
  <si>
    <t>p2005</t>
  </si>
  <si>
    <t>j2005</t>
  </si>
  <si>
    <t>0.68*c2009+0.2*m2009</t>
  </si>
  <si>
    <t>c2009</t>
  </si>
  <si>
    <t>m2009</t>
  </si>
  <si>
    <t>i2005</t>
  </si>
  <si>
    <t>ru2005</t>
  </si>
  <si>
    <t>bu2006</t>
  </si>
  <si>
    <t>al2003</t>
  </si>
  <si>
    <t>al2004</t>
  </si>
  <si>
    <t>v2005</t>
  </si>
  <si>
    <t>sp2005</t>
  </si>
  <si>
    <t>rb2005</t>
  </si>
  <si>
    <t>SA005</t>
  </si>
  <si>
    <t>i2005-</t>
  </si>
  <si>
    <t>客户名称</t>
  </si>
  <si>
    <t xml:space="preserve">标的	</t>
  </si>
  <si>
    <t xml:space="preserve">客户交易方向	</t>
  </si>
  <si>
    <t xml:space="preserve">类型	</t>
  </si>
  <si>
    <t>数量(吨）</t>
  </si>
  <si>
    <t>行权价</t>
  </si>
  <si>
    <t>入场价</t>
  </si>
  <si>
    <t>类型</t>
  </si>
  <si>
    <t>交易方向(我方)</t>
  </si>
  <si>
    <t>进场波动度</t>
  </si>
  <si>
    <t xml:space="preserve">天数	</t>
  </si>
  <si>
    <t xml:space="preserve">期权计算日	</t>
  </si>
  <si>
    <t xml:space="preserve">Risk-free rate ( r )	</t>
  </si>
  <si>
    <t xml:space="preserve">Cost of carry ( b )	</t>
  </si>
  <si>
    <t xml:space="preserve">今日收盘价格	</t>
  </si>
  <si>
    <t>Theta Q</t>
  </si>
  <si>
    <t>Rho r</t>
  </si>
  <si>
    <t>Delta Total</t>
  </si>
  <si>
    <t>Gamma Total</t>
  </si>
  <si>
    <t>Vega Total</t>
  </si>
  <si>
    <t>Theta Total</t>
  </si>
  <si>
    <t>Rho Total</t>
  </si>
  <si>
    <t>昨日计算日</t>
  </si>
  <si>
    <t xml:space="preserve">昨日收盘价格 </t>
  </si>
  <si>
    <t>Delta(T-1)</t>
  </si>
  <si>
    <t>Gamma(T-1)</t>
  </si>
  <si>
    <t>Vega(T-1)</t>
  </si>
  <si>
    <t>Theta(T-1)</t>
  </si>
  <si>
    <t>Rho(T-1)</t>
  </si>
  <si>
    <t>国泰君安风险管理有限公司</t>
  </si>
  <si>
    <t>卖出</t>
  </si>
  <si>
    <t>欧式看跌</t>
  </si>
  <si>
    <t>P</t>
  </si>
  <si>
    <t>2020-01-02 15:00:01</t>
  </si>
  <si>
    <t>2019-12-31 15:00:01</t>
  </si>
  <si>
    <t>宁波中哲物产有限公司</t>
  </si>
  <si>
    <t>华泰长城资本管理有限公司</t>
  </si>
  <si>
    <t>买入</t>
  </si>
  <si>
    <t>美式看涨</t>
  </si>
  <si>
    <t>C</t>
  </si>
  <si>
    <t>美式看跌</t>
  </si>
  <si>
    <t>欧式看涨</t>
  </si>
  <si>
    <t>申万宏源证券有限公司</t>
  </si>
  <si>
    <t>互换</t>
  </si>
  <si>
    <t>武汉劲暄物业管理有限公司</t>
  </si>
  <si>
    <t>上海锐镐有色金属股份有限公司</t>
  </si>
  <si>
    <t>亨通集团上海贸易有限公司</t>
  </si>
  <si>
    <t>上海海通资源管理有限公司</t>
  </si>
  <si>
    <t>深圳茂源资本资产管理有限公司</t>
  </si>
  <si>
    <t>宁波杉杉能化有限公司</t>
  </si>
  <si>
    <t>中信证券股份有限公司</t>
  </si>
  <si>
    <t>卓汇基金管理有限公司</t>
  </si>
  <si>
    <t>浙江永安资本管理有限公司</t>
  </si>
  <si>
    <t>南京构世云贸易有限公司</t>
  </si>
  <si>
    <t>上海新湖瑞丰金融服务有限公司</t>
  </si>
  <si>
    <t>鲁证经贸有限公司</t>
  </si>
  <si>
    <t>千惠云航1号私募证券投资基金</t>
  </si>
  <si>
    <t>千惠领航5号私募证券投资基金</t>
  </si>
  <si>
    <t>中国人民财产保险股份有限公司广西壮族自治区分公司</t>
  </si>
  <si>
    <t>亚式平值看跌期权</t>
  </si>
  <si>
    <t>16%/25%</t>
  </si>
  <si>
    <t>浙江南华资本管理有限公司</t>
  </si>
  <si>
    <t>北大荒粮食集团有限公司</t>
  </si>
  <si>
    <t>增强亚式看涨</t>
  </si>
  <si>
    <t>品种</t>
  </si>
  <si>
    <t>持仓数量</t>
  </si>
  <si>
    <t>收盘价</t>
  </si>
  <si>
    <t>合约乘数</t>
  </si>
  <si>
    <t>DeltaTotal</t>
  </si>
  <si>
    <t>GammaTotal</t>
  </si>
  <si>
    <t>VegaTotal</t>
  </si>
  <si>
    <t>ThetaTotal</t>
  </si>
  <si>
    <t>RhoTotal</t>
  </si>
  <si>
    <t>Imp_v</t>
  </si>
  <si>
    <t>p</t>
  </si>
  <si>
    <t>c</t>
  </si>
  <si>
    <t>m</t>
  </si>
  <si>
    <t>j</t>
  </si>
  <si>
    <t>i</t>
  </si>
  <si>
    <t>cu</t>
  </si>
  <si>
    <t>cu_o</t>
  </si>
  <si>
    <t>cu2002C54000</t>
  </si>
  <si>
    <t>v</t>
  </si>
  <si>
    <t>bu</t>
  </si>
  <si>
    <t>al</t>
  </si>
  <si>
    <t>ru</t>
  </si>
  <si>
    <t>sp</t>
  </si>
  <si>
    <t>SA</t>
  </si>
  <si>
    <t>rb</t>
  </si>
  <si>
    <t>i_o</t>
  </si>
  <si>
    <t>i2005-C-690</t>
  </si>
  <si>
    <t>i2005-P-640</t>
  </si>
  <si>
    <t>i2005-C-640</t>
  </si>
  <si>
    <t xml:space="preserve">今日结算价格	</t>
  </si>
  <si>
    <t xml:space="preserve">昨日结算价格 </t>
  </si>
  <si>
    <t>结算价</t>
  </si>
</sst>
</file>

<file path=xl/styles.xml><?xml version="1.0" encoding="utf-8"?>
<styleSheet xmlns="http://schemas.openxmlformats.org/spreadsheetml/2006/main">
  <numFmts count="0"/>
  <fonts count="5">
    <font>
      <name val="等线"/>
      <charset val="134"/>
      <family val="2"/>
      <color theme="1"/>
      <sz val="11"/>
      <scheme val="minor"/>
    </font>
    <font>
      <name val="等线"/>
      <charset val="134"/>
      <family val="2"/>
      <sz val="9"/>
      <scheme val="minor"/>
    </font>
    <font>
      <name val="宋体"/>
      <sz val="8"/>
    </font>
    <font>
      <name val="宋体"/>
      <color rgb="00000000"/>
      <sz val="8"/>
    </font>
    <font>
      <name val="宋体"/>
      <b val="1"/>
      <color rgb="00C65911"/>
      <sz val="8"/>
    </font>
  </fonts>
  <fills count="11">
    <fill>
      <patternFill/>
    </fill>
    <fill>
      <patternFill patternType="gray125"/>
    </fill>
    <fill>
      <patternFill patternType="solid">
        <fgColor rgb="00C5D9F1"/>
      </patternFill>
    </fill>
    <fill>
      <patternFill patternType="solid">
        <fgColor rgb="00FCD5B4"/>
      </patternFill>
    </fill>
    <fill>
      <patternFill patternType="solid">
        <fgColor rgb="00D9D9D9"/>
      </patternFill>
    </fill>
    <fill>
      <patternFill patternType="solid">
        <fgColor rgb="00F79646"/>
      </patternFill>
    </fill>
    <fill>
      <patternFill patternType="solid">
        <fgColor rgb="00B8CCE4"/>
      </patternFill>
    </fill>
    <fill>
      <patternFill patternType="solid">
        <fgColor rgb="00DA9694"/>
      </patternFill>
    </fill>
    <fill>
      <patternFill patternType="solid">
        <fgColor rgb="00FFFF00"/>
      </patternFill>
    </fill>
    <fill>
      <patternFill patternType="solid">
        <fgColor rgb="00F4B084"/>
      </patternFill>
    </fill>
    <fill>
      <patternFill patternType="solid">
        <fgColor rgb="00FF0000"/>
      </patternFill>
    </fill>
  </fills>
  <borders count="2">
    <border>
      <left/>
      <right/>
      <top/>
      <bottom/>
      <diagonal/>
    </border>
    <border>
      <left style="thin">
        <color rgb="00000000"/>
      </left>
      <right style="thin">
        <color rgb="00000000"/>
      </right>
      <top style="thin">
        <color rgb="00000000"/>
      </top>
      <bottom style="thin">
        <color rgb="00000000"/>
      </bottom>
      <diagonal/>
    </border>
  </borders>
  <cellStyleXfs count="1">
    <xf applyAlignment="1" borderId="0" fillId="0" fontId="0" numFmtId="0">
      <alignment vertical="center"/>
    </xf>
  </cellStyleXfs>
  <cellXfs count="21">
    <xf applyAlignment="1" borderId="0" fillId="0" fontId="0" numFmtId="0" pivotButton="0" quotePrefix="0" xfId="0">
      <alignment vertical="center"/>
    </xf>
    <xf borderId="0" fillId="0" fontId="0" numFmtId="0" pivotButton="0" quotePrefix="0" xfId="0"/>
    <xf applyAlignment="1" borderId="1" fillId="2" fontId="2" numFmtId="0" pivotButton="0" quotePrefix="0" xfId="0">
      <alignment horizontal="center" vertical="center" wrapText="1"/>
    </xf>
    <xf applyAlignment="1" borderId="1" fillId="3" fontId="2" numFmtId="0" pivotButton="0" quotePrefix="0" xfId="0">
      <alignment horizontal="center" vertical="center" wrapText="1"/>
    </xf>
    <xf applyAlignment="1" borderId="1" fillId="4" fontId="2" numFmtId="0" pivotButton="0" quotePrefix="0" xfId="0">
      <alignment horizontal="center" vertical="center"/>
    </xf>
    <xf applyAlignment="1" borderId="1" fillId="5" fontId="2" numFmtId="0" pivotButton="0" quotePrefix="0" xfId="0">
      <alignment horizontal="center" vertical="center"/>
    </xf>
    <xf applyAlignment="1" borderId="1" fillId="4" fontId="2" numFmtId="2" pivotButton="0" quotePrefix="0" xfId="0">
      <alignment horizontal="center" vertical="center"/>
    </xf>
    <xf applyAlignment="1" borderId="1" fillId="4" fontId="2" numFmtId="10" pivotButton="0" quotePrefix="0" xfId="0">
      <alignment horizontal="center" vertical="center"/>
    </xf>
    <xf applyAlignment="1" borderId="1" fillId="6" fontId="2" numFmtId="0" pivotButton="0" quotePrefix="0" xfId="0">
      <alignment horizontal="center" vertical="center"/>
    </xf>
    <xf applyAlignment="1" borderId="1" fillId="8" fontId="2" numFmtId="0" pivotButton="0" quotePrefix="0" xfId="0">
      <alignment horizontal="center" vertical="center"/>
    </xf>
    <xf applyAlignment="1" borderId="1" fillId="8" fontId="2" numFmtId="2" pivotButton="0" quotePrefix="0" xfId="0">
      <alignment horizontal="center" vertical="center"/>
    </xf>
    <xf applyAlignment="1" borderId="1" fillId="8" fontId="2" numFmtId="10" pivotButton="0" quotePrefix="0" xfId="0">
      <alignment horizontal="center" vertical="center"/>
    </xf>
    <xf applyAlignment="1" borderId="1" fillId="7" fontId="2" numFmtId="0" pivotButton="0" quotePrefix="0" xfId="0">
      <alignment horizontal="center" vertical="center"/>
    </xf>
    <xf applyAlignment="1" borderId="1" fillId="9" fontId="3" numFmtId="0" pivotButton="0" quotePrefix="0" xfId="0">
      <alignment horizontal="center" vertical="center" wrapText="1"/>
    </xf>
    <xf applyAlignment="1" borderId="1" fillId="0" fontId="4" numFmtId="0" pivotButton="0" quotePrefix="0" xfId="0">
      <alignment horizontal="center" vertical="center" wrapText="1"/>
    </xf>
    <xf borderId="0" fillId="0" fontId="3" numFmtId="0" pivotButton="0" quotePrefix="0" xfId="0"/>
    <xf applyAlignment="1" borderId="1" fillId="0" fontId="3" numFmtId="0" pivotButton="0" quotePrefix="0" xfId="0">
      <alignment horizontal="center" vertical="center" wrapText="1"/>
    </xf>
    <xf borderId="1" fillId="0" fontId="3" numFmtId="0" pivotButton="0" quotePrefix="0" xfId="0"/>
    <xf borderId="1" fillId="0" fontId="4" numFmtId="0" pivotButton="0" quotePrefix="0" xfId="0"/>
    <xf applyAlignment="1" borderId="1" fillId="2" fontId="3" numFmtId="0" pivotButton="0" quotePrefix="0" xfId="0">
      <alignment horizontal="center" vertical="center" wrapText="1"/>
    </xf>
    <xf applyAlignment="1" borderId="1" fillId="10" fontId="3" numFmtId="0" pivotButton="0" quotePrefix="0" xfId="0">
      <alignment horizontal="center" vertical="center" wrapText="1"/>
    </xf>
  </cellXfs>
  <cellStyles count="1">
    <cellStyle builtinId="0" name="常规" xfId="0"/>
  </cellStyle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/><Relationship Id="rId2" Target="/xl/worksheets/sheet2.xml" Type="http://schemas.openxmlformats.org/officeDocument/2006/relationships/worksheet"/><Relationship Id="rId3" Target="/xl/worksheets/sheet3.xml" Type="http://schemas.openxmlformats.org/officeDocument/2006/relationships/worksheet"/><Relationship Id="rId4" Target="/xl/worksheets/sheet4.xml" Type="http://schemas.openxmlformats.org/officeDocument/2006/relationships/worksheet"/><Relationship Id="rId5" Target="/xl/worksheets/sheet5.xml" Type="http://schemas.openxmlformats.org/officeDocument/2006/relationships/worksheet"/><Relationship Id="rId6" Target="/xl/worksheets/sheet6.xml" Type="http://schemas.openxmlformats.org/officeDocument/2006/relationships/worksheet"/><Relationship Id="rId7" Target="sharedStrings.xml" Type="http://schemas.openxmlformats.org/officeDocument/2006/relationships/sharedStrings"/><Relationship Id="rId8" Target="styles.xml" Type="http://schemas.openxmlformats.org/officeDocument/2006/relationships/styles"/><Relationship Id="rId9" Target="theme/theme1.xml" Type="http://schemas.openxmlformats.org/officeDocument/2006/relationships/theme"/><Relationship Id="rId10" Target="vbaProject.bin" Type="http://schemas.microsoft.com/office/2006/relationships/vbaProject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tabColor rgb="FF0070C0"/>
    <outlinePr summaryBelow="1" summaryRight="1"/>
    <pageSetUpPr/>
  </sheetPr>
  <dimension ref="A3:O41"/>
  <sheetViews>
    <sheetView tabSelected="1" workbookViewId="0">
      <selection activeCell="F10" sqref="F10"/>
    </sheetView>
  </sheetViews>
  <sheetFormatPr baseColWidth="8" defaultRowHeight="14.25" outlineLevelCol="0"/>
  <cols>
    <col customWidth="1" max="1" min="1" style="1" width="14"/>
    <col customWidth="1" max="2" min="2" style="1" width="14"/>
    <col customWidth="1" max="3" min="3" style="1" width="14"/>
    <col customWidth="1" max="4" min="4" style="1" width="14"/>
    <col customWidth="1" max="5" min="5" style="1" width="14"/>
    <col customWidth="1" max="6" min="6" style="1" width="14"/>
    <col customWidth="1" max="7" min="7" style="1" width="14"/>
    <col customWidth="1" max="8" min="8" style="1" width="14"/>
    <col customWidth="1" max="9" min="9" style="1" width="14"/>
    <col customWidth="1" max="10" min="10" style="1" width="14"/>
    <col customWidth="1" max="11" min="11" style="1" width="14"/>
    <col customWidth="1" max="12" min="12" style="1" width="14"/>
    <col customWidth="1" max="13" min="13" style="1" width="14"/>
    <col customWidth="1" max="14" min="14" style="1" width="14"/>
    <col customWidth="1" max="15" min="15" style="1" width="14"/>
  </cols>
  <sheetData>
    <row r="3" spans="1:15">
      <c r="A3" s="16" t="s">
        <v>0</v>
      </c>
      <c r="B3" s="16" t="s">
        <v>1</v>
      </c>
      <c r="C3" s="16" t="s">
        <v>2</v>
      </c>
      <c r="D3" s="16" t="s">
        <v>3</v>
      </c>
      <c r="E3" s="16" t="s">
        <v>4</v>
      </c>
      <c r="F3" s="16" t="s">
        <v>5</v>
      </c>
      <c r="G3" s="14" t="s">
        <v>6</v>
      </c>
      <c r="H3" s="14" t="s">
        <v>7</v>
      </c>
    </row>
    <row r="4" spans="1:15">
      <c r="A4" s="17" t="s">
        <v>8</v>
      </c>
      <c r="B4" s="15">
        <f>SUM(C21:C29)+SUM(I21:I29)</f>
        <v/>
      </c>
      <c r="C4" s="15">
        <f>SUM(D21:D29)+SUM(J21:J29)</f>
        <v/>
      </c>
      <c r="D4" s="15">
        <f>SUM(E21:E29)+SUM(K21:K29)</f>
        <v/>
      </c>
      <c r="E4" s="15">
        <f>SUM(F21:F29)+SUM(L21:L29)</f>
        <v/>
      </c>
      <c r="F4" s="15">
        <f>SUM(G21:G29)+SUM(M21:M29)</f>
        <v/>
      </c>
      <c r="G4" s="15">
        <f>SUM(N21:N29)</f>
        <v/>
      </c>
      <c r="H4" s="15">
        <f>IF(ABS(B4)&lt;ABS(G4),"是","否")</f>
        <v/>
      </c>
    </row>
    <row r="5" spans="1:15">
      <c r="A5" s="17" t="s">
        <v>9</v>
      </c>
      <c r="B5" s="15">
        <f>SUM(C30:C36)+SUM(I30:I36)</f>
        <v/>
      </c>
      <c r="C5" s="15">
        <f>SUM(D30:D36)+SUM(J30:J36)</f>
        <v/>
      </c>
      <c r="D5" s="15">
        <f>SUM(E30:E36)+SUM(K30:K36)</f>
        <v/>
      </c>
      <c r="E5" s="15">
        <f>SUM(F30:F36)+SUM(L30:L36)</f>
        <v/>
      </c>
      <c r="F5" s="15">
        <f>SUM(G30:G36)+SUM(M30:M36)</f>
        <v/>
      </c>
      <c r="G5" s="15">
        <f>SUM(N30:N36)</f>
        <v/>
      </c>
      <c r="H5" s="15">
        <f>IF(ABS(B5)&lt;ABS(G5),"是","否")</f>
        <v/>
      </c>
    </row>
    <row r="6" spans="1:15">
      <c r="A6" s="17" t="s">
        <v>10</v>
      </c>
      <c r="B6" s="15">
        <f>SUM(C37:C40)+SUM(I37:I40)</f>
        <v/>
      </c>
      <c r="C6" s="15">
        <f>SUM(D37:D40)+SUM(J37:J40)</f>
        <v/>
      </c>
      <c r="D6" s="15">
        <f>SUM(E37:E40)+SUM(K37:K40)</f>
        <v/>
      </c>
      <c r="E6" s="15">
        <f>SUM(F37:F40)+SUM(L37:L40)</f>
        <v/>
      </c>
      <c r="F6" s="15">
        <f>SUM(G37:G40)+SUM(M37:M40)</f>
        <v/>
      </c>
      <c r="G6" s="15">
        <f>SUM(N37:N40)</f>
        <v/>
      </c>
      <c r="H6" s="15">
        <f>IF(ABS(B6)&lt;ABS(G6),"是","否")</f>
        <v/>
      </c>
    </row>
    <row r="7" spans="1:15">
      <c r="A7" s="17" t="s">
        <v>11</v>
      </c>
      <c r="B7" s="15">
        <f>SUM(C41:C41)+SUM(I41:I41)</f>
        <v/>
      </c>
      <c r="C7" s="15">
        <f>SUM(D41:D41)+SUM(J41:J41)</f>
        <v/>
      </c>
      <c r="D7" s="15">
        <f>SUM(E41:E41)+SUM(K41:K41)</f>
        <v/>
      </c>
      <c r="E7" s="15">
        <f>SUM(F41:F41)+SUM(L41:L41)</f>
        <v/>
      </c>
      <c r="F7" s="15">
        <f>SUM(G41:G41)+SUM(M41:M41)</f>
        <v/>
      </c>
      <c r="G7" s="15">
        <f>SUM(N41:N41)</f>
        <v/>
      </c>
      <c r="H7" s="15">
        <f>IF(ABS(B7)&lt;ABS(G7),"是","否")</f>
        <v/>
      </c>
    </row>
    <row r="9" spans="1:15">
      <c r="A9" s="18" t="s">
        <v>12</v>
      </c>
      <c r="B9" s="15">
        <f>SUM(G4:G8)</f>
        <v/>
      </c>
      <c r="D9" s="15" t="s">
        <v>13</v>
      </c>
      <c r="E9" s="15" t="s">
        <v>14</v>
      </c>
    </row>
    <row r="10" spans="1:15">
      <c r="A10" s="18" t="s">
        <v>15</v>
      </c>
      <c r="B10" s="15">
        <f>IF(ABS(B11)&lt;ABS(B9),"是","否")</f>
        <v/>
      </c>
      <c r="D10" s="15">
        <f>IF(ABS(D11)&lt;ABS(D9),"是","否")</f>
        <v/>
      </c>
      <c r="E10" s="15">
        <f>IF(ABS(E11)&lt;ABS(E9),"是","否")</f>
        <v/>
      </c>
    </row>
    <row r="11" spans="1:15">
      <c r="A11" s="15" t="s">
        <v>16</v>
      </c>
      <c r="B11" s="15">
        <f>SUM(B4:B8)</f>
        <v/>
      </c>
      <c r="C11" s="15">
        <f>SUM(C4:C8)</f>
        <v/>
      </c>
      <c r="D11" s="15">
        <f>SUM(D4:D8)</f>
        <v/>
      </c>
      <c r="E11" s="15">
        <f>SUM(E4:E8)</f>
        <v/>
      </c>
      <c r="F11" s="15">
        <f>SUM(F4:F8)</f>
        <v/>
      </c>
    </row>
    <row customHeight="1" ht="15" r="20" s="1" spans="1:15">
      <c r="A20" s="13" t="s">
        <v>17</v>
      </c>
      <c r="B20" s="14" t="s">
        <v>18</v>
      </c>
      <c r="C20" s="14" t="s">
        <v>19</v>
      </c>
      <c r="D20" s="14" t="s">
        <v>2</v>
      </c>
      <c r="E20" s="14" t="s">
        <v>3</v>
      </c>
      <c r="F20" s="14" t="s">
        <v>4</v>
      </c>
      <c r="G20" s="14" t="s">
        <v>5</v>
      </c>
      <c r="H20" s="14" t="s">
        <v>20</v>
      </c>
      <c r="I20" s="19" t="s">
        <v>1</v>
      </c>
      <c r="J20" s="19" t="s">
        <v>2</v>
      </c>
      <c r="K20" s="19" t="s">
        <v>3</v>
      </c>
      <c r="L20" s="19" t="s">
        <v>4</v>
      </c>
      <c r="M20" s="19" t="s">
        <v>5</v>
      </c>
      <c r="N20" s="20" t="s">
        <v>21</v>
      </c>
      <c r="O20" s="14" t="s">
        <v>7</v>
      </c>
    </row>
    <row r="21" spans="1:15">
      <c r="A21" s="15" t="s">
        <v>8</v>
      </c>
      <c r="B21" s="15" t="s">
        <v>22</v>
      </c>
      <c r="C21" s="15">
        <f>场外期权Greek收盘价!C58</f>
        <v/>
      </c>
      <c r="D21" s="15">
        <f>场外期权Greek收盘价!D58</f>
        <v/>
      </c>
      <c r="E21" s="15">
        <f>场外期权Greek收盘价!E58</f>
        <v/>
      </c>
      <c r="F21" s="15">
        <f>场外期权Greek收盘价!F58</f>
        <v/>
      </c>
      <c r="G21" s="15">
        <f>场外期权Greek收盘价!G58</f>
        <v/>
      </c>
      <c r="H21" s="15">
        <f>场外期权Greek收盘价!H58*100</f>
        <v/>
      </c>
      <c r="I21" s="15">
        <f>场内Greek收盘价!L3</f>
        <v/>
      </c>
      <c r="J21" s="15">
        <f>场内Greek收盘价!M3</f>
        <v/>
      </c>
      <c r="K21" s="15">
        <f>场内Greek收盘价!N3</f>
        <v/>
      </c>
      <c r="L21" s="15">
        <f>场内Greek收盘价!O3</f>
        <v/>
      </c>
      <c r="M21" s="15">
        <f>场内Greek收盘价!P3</f>
        <v/>
      </c>
      <c r="N21" s="15">
        <f>MAX(1000000, ABS(0.5*D21*2 * H21/SQRT(245)))</f>
        <v/>
      </c>
      <c r="O21" s="15">
        <f>IF(ABS(C21+I21)&lt;ABS(N21),"是","否")</f>
        <v/>
      </c>
    </row>
    <row r="22" spans="1:15">
      <c r="B22" s="15" t="s">
        <v>23</v>
      </c>
      <c r="C22" s="15">
        <f>场外期权Greek收盘价!C59</f>
        <v/>
      </c>
      <c r="D22" s="15">
        <f>场外期权Greek收盘价!D59</f>
        <v/>
      </c>
      <c r="E22" s="15">
        <f>场外期权Greek收盘价!E59</f>
        <v/>
      </c>
      <c r="F22" s="15">
        <f>场外期权Greek收盘价!F59</f>
        <v/>
      </c>
      <c r="G22" s="15">
        <f>场外期权Greek收盘价!G59</f>
        <v/>
      </c>
      <c r="H22" s="15">
        <f>场外期权Greek收盘价!H59*100</f>
        <v/>
      </c>
      <c r="I22" s="15">
        <f>场内Greek收盘价!L8+场内Greek收盘价!L10</f>
        <v/>
      </c>
      <c r="J22" s="15">
        <f>场内Greek收盘价!M8+场内Greek收盘价!M10</f>
        <v/>
      </c>
      <c r="K22" s="15">
        <f>场内Greek收盘价!N8+场内Greek收盘价!N10</f>
        <v/>
      </c>
      <c r="L22" s="15">
        <f>场内Greek收盘价!O8+场内Greek收盘价!O10</f>
        <v/>
      </c>
      <c r="M22" s="15">
        <f>场内Greek收盘价!P8+场内Greek收盘价!P10</f>
        <v/>
      </c>
      <c r="N22" s="15">
        <f>MAX(1000000, ABS(0.5*D22*2 * H22/SQRT(245)))</f>
        <v/>
      </c>
      <c r="O22" s="15">
        <f>IF(ABS(C22+I22)&lt;ABS(N22),"是","否")</f>
        <v/>
      </c>
    </row>
    <row r="23" spans="1:15">
      <c r="B23" s="15" t="s">
        <v>24</v>
      </c>
      <c r="C23" s="15">
        <f>场外期权Greek收盘价!C60</f>
        <v/>
      </c>
      <c r="D23" s="15">
        <f>场外期权Greek收盘价!D60</f>
        <v/>
      </c>
      <c r="E23" s="15">
        <f>场外期权Greek收盘价!E60</f>
        <v/>
      </c>
      <c r="F23" s="15">
        <f>场外期权Greek收盘价!F60</f>
        <v/>
      </c>
      <c r="G23" s="15">
        <f>场外期权Greek收盘价!G60</f>
        <v/>
      </c>
      <c r="H23" s="15">
        <f>场外期权Greek收盘价!H60*100</f>
        <v/>
      </c>
      <c r="I23" s="15" t="n"/>
      <c r="J23" s="15" t="n"/>
      <c r="K23" s="15" t="n"/>
      <c r="L23" s="15" t="n"/>
      <c r="M23" s="15" t="n"/>
      <c r="N23" s="15">
        <f>MAX(1000000, ABS(0.5*D23*2 * H23/SQRT(245)))</f>
        <v/>
      </c>
      <c r="O23" s="15">
        <f>IF(ABS(C23+I23)&lt;ABS(N23),"是","否")</f>
        <v/>
      </c>
    </row>
    <row r="24" spans="1:15">
      <c r="B24" s="15" t="s">
        <v>25</v>
      </c>
      <c r="C24" s="15">
        <f>场外期权Greek收盘价!C61</f>
        <v/>
      </c>
      <c r="D24" s="15">
        <f>场外期权Greek收盘价!D61</f>
        <v/>
      </c>
      <c r="E24" s="15">
        <f>场外期权Greek收盘价!E61</f>
        <v/>
      </c>
      <c r="F24" s="15">
        <f>场外期权Greek收盘价!F61</f>
        <v/>
      </c>
      <c r="G24" s="15">
        <f>场外期权Greek收盘价!G61</f>
        <v/>
      </c>
      <c r="H24" s="15">
        <f>场外期权Greek收盘价!H61*100</f>
        <v/>
      </c>
      <c r="I24" s="15">
        <f>场内Greek收盘价!L2</f>
        <v/>
      </c>
      <c r="J24" s="15">
        <f>场内Greek收盘价!M2</f>
        <v/>
      </c>
      <c r="K24" s="15">
        <f>场内Greek收盘价!N2</f>
        <v/>
      </c>
      <c r="L24" s="15">
        <f>场内Greek收盘价!O2</f>
        <v/>
      </c>
      <c r="M24" s="15">
        <f>场内Greek收盘价!P2</f>
        <v/>
      </c>
      <c r="N24" s="15">
        <f>MAX(1000000, ABS(0.5*D24*2 * H24/SQRT(245)))</f>
        <v/>
      </c>
      <c r="O24" s="15">
        <f>IF(ABS(C24+I24)&lt;ABS(N24),"是","否")</f>
        <v/>
      </c>
    </row>
    <row r="25" spans="1:15">
      <c r="B25" s="15" t="s">
        <v>26</v>
      </c>
      <c r="C25" s="15">
        <f>场外期权Greek收盘价!C62</f>
        <v/>
      </c>
      <c r="D25" s="15">
        <f>场外期权Greek收盘价!D62</f>
        <v/>
      </c>
      <c r="E25" s="15">
        <f>场外期权Greek收盘价!E62</f>
        <v/>
      </c>
      <c r="F25" s="15">
        <f>场外期权Greek收盘价!F62</f>
        <v/>
      </c>
      <c r="G25" s="15">
        <f>场外期权Greek收盘价!G62</f>
        <v/>
      </c>
      <c r="H25" s="15">
        <f>场外期权Greek收盘价!H62*100</f>
        <v/>
      </c>
      <c r="I25" s="15">
        <f>场内Greek收盘价!L6</f>
        <v/>
      </c>
      <c r="J25" s="15">
        <f>场内Greek收盘价!M6</f>
        <v/>
      </c>
      <c r="K25" s="15">
        <f>场内Greek收盘价!N6</f>
        <v/>
      </c>
      <c r="L25" s="15">
        <f>场内Greek收盘价!O6</f>
        <v/>
      </c>
      <c r="M25" s="15">
        <f>场内Greek收盘价!P6</f>
        <v/>
      </c>
      <c r="N25" s="15">
        <f>MAX(1000000, ABS(0.5*D25*2 * H25/SQRT(245)))</f>
        <v/>
      </c>
      <c r="O25" s="15">
        <f>IF(ABS(C25+I25)&lt;ABS(N25),"是","否")</f>
        <v/>
      </c>
    </row>
    <row r="26" spans="1:15">
      <c r="B26" s="15" t="s">
        <v>27</v>
      </c>
      <c r="C26" s="15">
        <f>场外期权Greek收盘价!C63</f>
        <v/>
      </c>
      <c r="D26" s="15">
        <f>场外期权Greek收盘价!D63</f>
        <v/>
      </c>
      <c r="E26" s="15">
        <f>场外期权Greek收盘价!E63</f>
        <v/>
      </c>
      <c r="F26" s="15">
        <f>场外期权Greek收盘价!F63</f>
        <v/>
      </c>
      <c r="G26" s="15">
        <f>场外期权Greek收盘价!G63</f>
        <v/>
      </c>
      <c r="H26" s="15">
        <f>场外期权Greek收盘价!H63*100</f>
        <v/>
      </c>
      <c r="I26" s="15" t="n"/>
      <c r="J26" s="15" t="n"/>
      <c r="K26" s="15" t="n"/>
      <c r="L26" s="15" t="n"/>
      <c r="M26" s="15" t="n"/>
      <c r="N26" s="15">
        <f>MAX(1000000, ABS(0.5*D26*2 * H26/SQRT(245)))</f>
        <v/>
      </c>
      <c r="O26" s="15">
        <f>IF(ABS(C26+I26)&lt;ABS(N26),"是","否")</f>
        <v/>
      </c>
    </row>
    <row r="27" spans="1:15">
      <c r="B27" s="15" t="s">
        <v>28</v>
      </c>
      <c r="I27" s="15">
        <f>场内Greek收盘价!L4</f>
        <v/>
      </c>
      <c r="J27" s="15">
        <f>场内Greek收盘价!M4</f>
        <v/>
      </c>
      <c r="K27" s="15">
        <f>场内Greek收盘价!N4</f>
        <v/>
      </c>
      <c r="L27" s="15">
        <f>场内Greek收盘价!O4</f>
        <v/>
      </c>
      <c r="M27" s="15">
        <f>场内Greek收盘价!P4</f>
        <v/>
      </c>
      <c r="N27" s="15">
        <f>MAX(1000000, ABS(0.5*D27*2 * H27/SQRT(245)))</f>
        <v/>
      </c>
      <c r="O27" s="15">
        <f>IF(ABS(C27+I27)&lt;ABS(N27),"是","否")</f>
        <v/>
      </c>
    </row>
    <row r="28" spans="1:15">
      <c r="B28" s="15" t="s">
        <v>29</v>
      </c>
      <c r="I28" s="15">
        <f>场内Greek收盘价!L5</f>
        <v/>
      </c>
      <c r="J28" s="15">
        <f>场内Greek收盘价!M5</f>
        <v/>
      </c>
      <c r="K28" s="15">
        <f>场内Greek收盘价!N5</f>
        <v/>
      </c>
      <c r="L28" s="15">
        <f>场内Greek收盘价!O5</f>
        <v/>
      </c>
      <c r="M28" s="15">
        <f>场内Greek收盘价!P5</f>
        <v/>
      </c>
      <c r="N28" s="15">
        <f>MAX(1000000, ABS(0.5*D28*2 * H28/SQRT(245)))</f>
        <v/>
      </c>
      <c r="O28" s="15">
        <f>IF(ABS(C28+I28)&lt;ABS(N28),"是","否")</f>
        <v/>
      </c>
    </row>
    <row r="29" spans="1:15">
      <c r="B29" s="15" t="s">
        <v>30</v>
      </c>
      <c r="I29" s="15">
        <f>场内Greek收盘价!L7</f>
        <v/>
      </c>
      <c r="J29" s="15">
        <f>场内Greek收盘价!M7</f>
        <v/>
      </c>
      <c r="K29" s="15">
        <f>场内Greek收盘价!N7</f>
        <v/>
      </c>
      <c r="L29" s="15">
        <f>场内Greek收盘价!O7</f>
        <v/>
      </c>
      <c r="M29" s="15">
        <f>场内Greek收盘价!P7</f>
        <v/>
      </c>
      <c r="N29" s="15">
        <f>MAX(1000000, ABS(0.5*D29*2 * H29/SQRT(245)))</f>
        <v/>
      </c>
      <c r="O29" s="15">
        <f>IF(ABS(C29+I29)&lt;ABS(N29),"是","否")</f>
        <v/>
      </c>
    </row>
    <row r="30" spans="1:15">
      <c r="A30" s="15" t="s">
        <v>9</v>
      </c>
      <c r="B30" s="15" t="s">
        <v>31</v>
      </c>
      <c r="C30" s="15">
        <f>场外期权Greek收盘价!C64</f>
        <v/>
      </c>
      <c r="D30" s="15">
        <f>场外期权Greek收盘价!D64</f>
        <v/>
      </c>
      <c r="E30" s="15">
        <f>场外期权Greek收盘价!E64</f>
        <v/>
      </c>
      <c r="F30" s="15">
        <f>场外期权Greek收盘价!F64</f>
        <v/>
      </c>
      <c r="G30" s="15">
        <f>场外期权Greek收盘价!G64</f>
        <v/>
      </c>
      <c r="H30" s="15">
        <f>场外期权Greek收盘价!H64*100</f>
        <v/>
      </c>
      <c r="I30" s="15">
        <f>场内Greek收盘价!L16</f>
        <v/>
      </c>
      <c r="J30" s="15">
        <f>场内Greek收盘价!M16</f>
        <v/>
      </c>
      <c r="K30" s="15">
        <f>场内Greek收盘价!N16</f>
        <v/>
      </c>
      <c r="L30" s="15">
        <f>场内Greek收盘价!O16</f>
        <v/>
      </c>
      <c r="M30" s="15">
        <f>场内Greek收盘价!P16</f>
        <v/>
      </c>
      <c r="N30" s="15">
        <f>MAX(1000000, ABS(0.5*D30*2 * H30/SQRT(245)))</f>
        <v/>
      </c>
      <c r="O30" s="15">
        <f>IF(ABS(C30+I30)&lt;ABS(N30),"是","否")</f>
        <v/>
      </c>
    </row>
    <row r="31" spans="1:15">
      <c r="B31" s="15" t="s">
        <v>32</v>
      </c>
      <c r="C31" s="15">
        <f>场外期权Greek收盘价!C65</f>
        <v/>
      </c>
      <c r="D31" s="15">
        <f>场外期权Greek收盘价!D65</f>
        <v/>
      </c>
      <c r="E31" s="15">
        <f>场外期权Greek收盘价!E65</f>
        <v/>
      </c>
      <c r="F31" s="15">
        <f>场外期权Greek收盘价!F65</f>
        <v/>
      </c>
      <c r="G31" s="15">
        <f>场外期权Greek收盘价!G65</f>
        <v/>
      </c>
      <c r="H31" s="15">
        <f>场外期权Greek收盘价!H65*100</f>
        <v/>
      </c>
      <c r="I31" s="15">
        <f>场内Greek收盘价!L13</f>
        <v/>
      </c>
      <c r="J31" s="15">
        <f>场内Greek收盘价!M13</f>
        <v/>
      </c>
      <c r="K31" s="15">
        <f>场内Greek收盘价!N13</f>
        <v/>
      </c>
      <c r="L31" s="15">
        <f>场内Greek收盘价!O13</f>
        <v/>
      </c>
      <c r="M31" s="15">
        <f>场内Greek收盘价!P13</f>
        <v/>
      </c>
      <c r="N31" s="15">
        <f>MAX(1000000, ABS(0.5*D31*2 * H31/SQRT(245)))</f>
        <v/>
      </c>
      <c r="O31" s="15">
        <f>IF(ABS(C31+I31)&lt;ABS(N31),"是","否")</f>
        <v/>
      </c>
    </row>
    <row r="32" spans="1:15">
      <c r="B32" s="15" t="s">
        <v>33</v>
      </c>
      <c r="C32" s="15">
        <f>场外期权Greek收盘价!C66</f>
        <v/>
      </c>
      <c r="D32" s="15">
        <f>场外期权Greek收盘价!D66</f>
        <v/>
      </c>
      <c r="E32" s="15">
        <f>场外期权Greek收盘价!E66</f>
        <v/>
      </c>
      <c r="F32" s="15">
        <f>场外期权Greek收盘价!F66</f>
        <v/>
      </c>
      <c r="G32" s="15">
        <f>场外期权Greek收盘价!G66</f>
        <v/>
      </c>
      <c r="H32" s="15">
        <f>场外期权Greek收盘价!H66*100</f>
        <v/>
      </c>
      <c r="I32" s="15">
        <f>场内Greek收盘价!L14</f>
        <v/>
      </c>
      <c r="J32" s="15">
        <f>场内Greek收盘价!M14</f>
        <v/>
      </c>
      <c r="K32" s="15">
        <f>场内Greek收盘价!N14</f>
        <v/>
      </c>
      <c r="L32" s="15">
        <f>场内Greek收盘价!O14</f>
        <v/>
      </c>
      <c r="M32" s="15">
        <f>场内Greek收盘价!P14</f>
        <v/>
      </c>
      <c r="N32" s="15">
        <f>MAX(1000000, ABS(0.5*D32*2 * H32/SQRT(245)))</f>
        <v/>
      </c>
      <c r="O32" s="15">
        <f>IF(ABS(C32+I32)&lt;ABS(N32),"是","否")</f>
        <v/>
      </c>
    </row>
    <row r="33" spans="1:15">
      <c r="B33" s="15" t="s">
        <v>34</v>
      </c>
      <c r="C33" s="15">
        <f>场外期权Greek收盘价!C67</f>
        <v/>
      </c>
      <c r="D33" s="15">
        <f>场外期权Greek收盘价!D67</f>
        <v/>
      </c>
      <c r="E33" s="15">
        <f>场外期权Greek收盘价!E67</f>
        <v/>
      </c>
      <c r="F33" s="15">
        <f>场外期权Greek收盘价!F67</f>
        <v/>
      </c>
      <c r="G33" s="15">
        <f>场外期权Greek收盘价!G67</f>
        <v/>
      </c>
      <c r="H33" s="15">
        <f>场外期权Greek收盘价!H67*100</f>
        <v/>
      </c>
      <c r="I33" s="15">
        <f>场内Greek收盘价!L15</f>
        <v/>
      </c>
      <c r="J33" s="15">
        <f>场内Greek收盘价!M15</f>
        <v/>
      </c>
      <c r="K33" s="15">
        <f>场内Greek收盘价!N15</f>
        <v/>
      </c>
      <c r="L33" s="15">
        <f>场内Greek收盘价!O15</f>
        <v/>
      </c>
      <c r="M33" s="15">
        <f>场内Greek收盘价!P15</f>
        <v/>
      </c>
      <c r="N33" s="15">
        <f>MAX(1000000, ABS(0.5*D33*2 * H33/SQRT(245)))</f>
        <v/>
      </c>
      <c r="O33" s="15">
        <f>IF(ABS(C33+I33)&lt;ABS(N33),"是","否")</f>
        <v/>
      </c>
    </row>
    <row r="34" spans="1:15">
      <c r="B34" s="15" t="s">
        <v>35</v>
      </c>
      <c r="C34" s="15">
        <f>场外期权Greek收盘价!C68</f>
        <v/>
      </c>
      <c r="D34" s="15">
        <f>场外期权Greek收盘价!D68</f>
        <v/>
      </c>
      <c r="E34" s="15">
        <f>场外期权Greek收盘价!E68</f>
        <v/>
      </c>
      <c r="F34" s="15">
        <f>场外期权Greek收盘价!F68</f>
        <v/>
      </c>
      <c r="G34" s="15">
        <f>场外期权Greek收盘价!G68</f>
        <v/>
      </c>
      <c r="H34" s="15">
        <f>场外期权Greek收盘价!H68*100</f>
        <v/>
      </c>
      <c r="I34" s="15">
        <f>场内Greek收盘价!L12</f>
        <v/>
      </c>
      <c r="J34" s="15">
        <f>场内Greek收盘价!M12</f>
        <v/>
      </c>
      <c r="K34" s="15">
        <f>场内Greek收盘价!N12</f>
        <v/>
      </c>
      <c r="L34" s="15">
        <f>场内Greek收盘价!O12</f>
        <v/>
      </c>
      <c r="M34" s="15">
        <f>场内Greek收盘价!P12</f>
        <v/>
      </c>
      <c r="N34" s="15">
        <f>MAX(1000000, ABS(0.5*D34*2 * H34/SQRT(245)))</f>
        <v/>
      </c>
      <c r="O34" s="15">
        <f>IF(ABS(C34+I34)&lt;ABS(N34),"是","否")</f>
        <v/>
      </c>
    </row>
    <row r="35" spans="1:15">
      <c r="B35" s="15" t="s">
        <v>25</v>
      </c>
      <c r="C35" s="15">
        <f>场外期权Greek收盘价!C69</f>
        <v/>
      </c>
      <c r="D35" s="15">
        <f>场外期权Greek收盘价!D69</f>
        <v/>
      </c>
      <c r="E35" s="15">
        <f>场外期权Greek收盘价!E69</f>
        <v/>
      </c>
      <c r="F35" s="15">
        <f>场外期权Greek收盘价!F69</f>
        <v/>
      </c>
      <c r="G35" s="15">
        <f>场外期权Greek收盘价!G69</f>
        <v/>
      </c>
      <c r="H35" s="15">
        <f>场外期权Greek收盘价!H69*100</f>
        <v/>
      </c>
      <c r="I35" s="15">
        <f>场内Greek收盘价!L11</f>
        <v/>
      </c>
      <c r="J35" s="15">
        <f>场内Greek收盘价!M11</f>
        <v/>
      </c>
      <c r="K35" s="15">
        <f>场内Greek收盘价!N11</f>
        <v/>
      </c>
      <c r="L35" s="15">
        <f>场内Greek收盘价!O11</f>
        <v/>
      </c>
      <c r="M35" s="15">
        <f>场内Greek收盘价!P11</f>
        <v/>
      </c>
      <c r="N35" s="15">
        <f>MAX(1000000, ABS(0.5*D35*2 * H35/SQRT(245)))</f>
        <v/>
      </c>
      <c r="O35" s="15">
        <f>IF(ABS(C35+I35)&lt;ABS(N35),"是","否")</f>
        <v/>
      </c>
    </row>
    <row r="36" spans="1:15">
      <c r="B36" s="15" t="s">
        <v>36</v>
      </c>
      <c r="C36" s="15">
        <f>场外期权Greek收盘价!C70</f>
        <v/>
      </c>
      <c r="D36" s="15">
        <f>场外期权Greek收盘价!D70</f>
        <v/>
      </c>
      <c r="E36" s="15">
        <f>场外期权Greek收盘价!E70</f>
        <v/>
      </c>
      <c r="F36" s="15">
        <f>场外期权Greek收盘价!F70</f>
        <v/>
      </c>
      <c r="G36" s="15">
        <f>场外期权Greek收盘价!G70</f>
        <v/>
      </c>
      <c r="H36" s="15">
        <f>场外期权Greek收盘价!H70*100</f>
        <v/>
      </c>
      <c r="I36" s="15">
        <f>场内Greek收盘价!L17</f>
        <v/>
      </c>
      <c r="J36" s="15">
        <f>场内Greek收盘价!M17</f>
        <v/>
      </c>
      <c r="K36" s="15">
        <f>场内Greek收盘价!N17</f>
        <v/>
      </c>
      <c r="L36" s="15">
        <f>场内Greek收盘价!O17</f>
        <v/>
      </c>
      <c r="M36" s="15">
        <f>场内Greek收盘价!P17</f>
        <v/>
      </c>
      <c r="N36" s="15">
        <f>MAX(1000000, ABS(0.5*D36*2 * H36/SQRT(245)))</f>
        <v/>
      </c>
      <c r="O36" s="15">
        <f>IF(ABS(C36+I36)&lt;ABS(N36),"是","否")</f>
        <v/>
      </c>
    </row>
    <row r="37" spans="1:15">
      <c r="A37" s="15" t="s">
        <v>10</v>
      </c>
      <c r="B37" s="15" t="s">
        <v>37</v>
      </c>
      <c r="C37" s="15">
        <f>场外期权Greek收盘价!C71</f>
        <v/>
      </c>
      <c r="D37" s="15">
        <f>场外期权Greek收盘价!D71</f>
        <v/>
      </c>
      <c r="E37" s="15">
        <f>场外期权Greek收盘价!E71</f>
        <v/>
      </c>
      <c r="F37" s="15">
        <f>场外期权Greek收盘价!F71</f>
        <v/>
      </c>
      <c r="G37" s="15">
        <f>场外期权Greek收盘价!G71</f>
        <v/>
      </c>
      <c r="H37" s="15">
        <f>场外期权Greek收盘价!H71*100</f>
        <v/>
      </c>
      <c r="I37" s="15">
        <f>场内Greek收盘价!L20</f>
        <v/>
      </c>
      <c r="J37" s="15">
        <f>场内Greek收盘价!M20</f>
        <v/>
      </c>
      <c r="K37" s="15">
        <f>场内Greek收盘价!N20</f>
        <v/>
      </c>
      <c r="L37" s="15">
        <f>场内Greek收盘价!O20</f>
        <v/>
      </c>
      <c r="M37" s="15">
        <f>场内Greek收盘价!P20</f>
        <v/>
      </c>
      <c r="N37" s="15">
        <f>MAX(1000000, ABS(0.5*D37*2 * H37/SQRT(245)))</f>
        <v/>
      </c>
      <c r="O37" s="15">
        <f>IF(ABS(C37+I37)&lt;ABS(N37),"是","否")</f>
        <v/>
      </c>
    </row>
    <row r="38" spans="1:15">
      <c r="B38" s="15" t="s">
        <v>30</v>
      </c>
      <c r="C38" s="15">
        <f>场外期权Greek收盘价!C72</f>
        <v/>
      </c>
      <c r="D38" s="15">
        <f>场外期权Greek收盘价!D72</f>
        <v/>
      </c>
      <c r="E38" s="15">
        <f>场外期权Greek收盘价!E72</f>
        <v/>
      </c>
      <c r="F38" s="15">
        <f>场外期权Greek收盘价!F72</f>
        <v/>
      </c>
      <c r="G38" s="15">
        <f>场外期权Greek收盘价!G72</f>
        <v/>
      </c>
      <c r="H38" s="15">
        <f>场外期权Greek收盘价!H72*100</f>
        <v/>
      </c>
      <c r="I38" s="15">
        <f>场内Greek收盘价!L19</f>
        <v/>
      </c>
      <c r="J38" s="15">
        <f>场内Greek收盘价!M19</f>
        <v/>
      </c>
      <c r="K38" s="15">
        <f>场内Greek收盘价!N19</f>
        <v/>
      </c>
      <c r="L38" s="15">
        <f>场内Greek收盘价!O19</f>
        <v/>
      </c>
      <c r="M38" s="15">
        <f>场内Greek收盘价!P19</f>
        <v/>
      </c>
      <c r="N38" s="15">
        <f>MAX(1000000, ABS(0.5*D38*2 * H38/SQRT(245)))</f>
        <v/>
      </c>
      <c r="O38" s="15">
        <f>IF(ABS(C38+I38)&lt;ABS(N38),"是","否")</f>
        <v/>
      </c>
    </row>
    <row r="39" spans="1:15">
      <c r="B39" s="15" t="s">
        <v>38</v>
      </c>
      <c r="C39" s="15">
        <f>场外期权Greek收盘价!C73</f>
        <v/>
      </c>
      <c r="D39" s="15">
        <f>场外期权Greek收盘价!D73</f>
        <v/>
      </c>
      <c r="E39" s="15">
        <f>场外期权Greek收盘价!E73</f>
        <v/>
      </c>
      <c r="F39" s="15">
        <f>场外期权Greek收盘价!F73</f>
        <v/>
      </c>
      <c r="G39" s="15">
        <f>场外期权Greek收盘价!G73</f>
        <v/>
      </c>
      <c r="H39" s="15">
        <f>场外期权Greek收盘价!H73*100</f>
        <v/>
      </c>
      <c r="I39" s="15">
        <f>场内Greek收盘价!L18</f>
        <v/>
      </c>
      <c r="J39" s="15">
        <f>场内Greek收盘价!M18</f>
        <v/>
      </c>
      <c r="K39" s="15">
        <f>场内Greek收盘价!N18</f>
        <v/>
      </c>
      <c r="L39" s="15">
        <f>场内Greek收盘价!O18</f>
        <v/>
      </c>
      <c r="M39" s="15">
        <f>场内Greek收盘价!P18</f>
        <v/>
      </c>
      <c r="N39" s="15">
        <f>MAX(1000000, ABS(0.5*D39*2 * H39/SQRT(245)))</f>
        <v/>
      </c>
      <c r="O39" s="15">
        <f>IF(ABS(C39+I39)&lt;ABS(N39),"是","否")</f>
        <v/>
      </c>
    </row>
    <row r="40" spans="1:15">
      <c r="B40" s="15" t="s">
        <v>39</v>
      </c>
      <c r="I40" s="15">
        <f>场内Greek收盘价!L24</f>
        <v/>
      </c>
      <c r="J40" s="15">
        <f>场内Greek收盘价!M24</f>
        <v/>
      </c>
      <c r="K40" s="15">
        <f>场内Greek收盘价!N24</f>
        <v/>
      </c>
      <c r="L40" s="15">
        <f>场内Greek收盘价!O24</f>
        <v/>
      </c>
      <c r="M40" s="15">
        <f>场内Greek收盘价!P24</f>
        <v/>
      </c>
      <c r="N40" s="15">
        <f>MAX(1000000, ABS(0.5*D40*2 * H40/SQRT(245)))</f>
        <v/>
      </c>
      <c r="O40" s="15">
        <f>IF(ABS(C40+I40)&lt;ABS(N40),"是","否")</f>
        <v/>
      </c>
    </row>
    <row r="41" spans="1:15">
      <c r="A41" s="15" t="s">
        <v>11</v>
      </c>
      <c r="B41" s="15" t="s">
        <v>22</v>
      </c>
      <c r="C41" s="15">
        <f>场外期权Greek收盘价!C74</f>
        <v/>
      </c>
      <c r="D41" s="15">
        <f>场外期权Greek收盘价!D74</f>
        <v/>
      </c>
      <c r="E41" s="15">
        <f>场外期权Greek收盘价!E74</f>
        <v/>
      </c>
      <c r="F41" s="15">
        <f>场外期权Greek收盘价!F74</f>
        <v/>
      </c>
      <c r="G41" s="15">
        <f>场外期权Greek收盘价!G74</f>
        <v/>
      </c>
      <c r="H41" s="15">
        <f>场外期权Greek收盘价!H74*100</f>
        <v/>
      </c>
      <c r="I41" s="15" t="n"/>
      <c r="J41" s="15" t="n"/>
      <c r="K41" s="15" t="n"/>
      <c r="L41" s="15" t="n"/>
      <c r="M41" s="15" t="n"/>
      <c r="N41" s="15">
        <f>MAX(1000000, ABS(0.5*D41*2 * H41/SQRT(245)))</f>
        <v/>
      </c>
      <c r="O41" s="15">
        <f>IF(ABS(C41+I41)&lt;ABS(N41),"是","否")</f>
        <v/>
      </c>
    </row>
  </sheetData>
  <pageMargins bottom="0.75" footer="0.3" header="0.3" left="0.7" right="0.7" top="0.75"/>
</worksheet>
</file>

<file path=xl/worksheets/sheet2.xml><?xml version="1.0" encoding="utf-8"?>
<worksheet xmlns="http://schemas.openxmlformats.org/spreadsheetml/2006/main">
  <sheetPr codeName="Sheet2">
    <tabColor rgb="FF0070C0"/>
    <outlinePr summaryBelow="1" summaryRight="1"/>
    <pageSetUpPr/>
  </sheetPr>
  <dimension ref="A1:AG74"/>
  <sheetViews>
    <sheetView workbookViewId="0">
      <selection activeCell="F34" sqref="F34"/>
    </sheetView>
  </sheetViews>
  <sheetFormatPr baseColWidth="8" defaultRowHeight="14.25" outlineLevelCol="0"/>
  <cols>
    <col customWidth="1" max="1" min="1" style="1" width="10"/>
    <col customWidth="1" max="2" min="2" style="1" width="30"/>
    <col customWidth="1" max="3" min="3" style="1" width="10"/>
    <col customWidth="1" max="4" min="4" style="1" width="10"/>
    <col customWidth="1" max="5" min="5" style="1" width="10"/>
    <col customWidth="1" max="6" min="6" style="1" width="10"/>
    <col customWidth="1" max="7" min="7" style="1" width="10"/>
    <col customWidth="1" max="8" min="8" style="1" width="10"/>
    <col customWidth="1" max="9" min="9" style="1" width="10"/>
    <col customWidth="1" max="10" min="10" style="1" width="10"/>
    <col customWidth="1" max="11" min="11" style="1" width="10"/>
    <col customWidth="1" max="12" min="12" style="1" width="10"/>
    <col customWidth="1" max="13" min="13" style="1" width="20"/>
    <col customWidth="1" max="14" min="14" style="1" width="10"/>
    <col customWidth="1" max="15" min="15" style="1" width="10"/>
    <col customWidth="1" max="16" min="16" style="1" width="10"/>
    <col customWidth="1" max="17" min="17" style="1" width="10"/>
    <col customWidth="1" max="18" min="18" style="1" width="10"/>
    <col customWidth="1" max="19" min="19" style="1" width="10"/>
    <col customWidth="1" max="20" min="20" style="1" width="10"/>
    <col customWidth="1" max="21" min="21" style="1" width="10"/>
    <col customWidth="1" max="22" min="22" style="1" width="10"/>
    <col customWidth="1" max="23" min="23" style="1" width="10"/>
    <col customWidth="1" max="24" min="24" style="1" width="10"/>
    <col customWidth="1" max="25" min="25" style="1" width="10"/>
    <col customWidth="1" max="26" min="26" style="1" width="10"/>
    <col customWidth="1" max="27" min="27" style="1" width="10"/>
    <col customWidth="1" max="28" min="28" style="1" width="10"/>
    <col customWidth="1" max="29" min="29" style="1" width="10"/>
    <col customWidth="1" max="30" min="30" style="1" width="10"/>
    <col customWidth="1" max="31" min="31" style="1" width="10"/>
    <col customWidth="1" max="32" min="32" style="1" width="10"/>
    <col customWidth="1" max="33" min="33" style="1" width="10"/>
  </cols>
  <sheetData>
    <row customHeight="1" ht="40" r="1" s="1" spans="1:33">
      <c r="A1" s="2" t="s">
        <v>17</v>
      </c>
      <c r="B1" s="2" t="s">
        <v>40</v>
      </c>
      <c r="C1" s="2" t="s">
        <v>41</v>
      </c>
      <c r="D1" s="2" t="s">
        <v>42</v>
      </c>
      <c r="E1" s="2" t="s">
        <v>43</v>
      </c>
      <c r="F1" s="2" t="s">
        <v>44</v>
      </c>
      <c r="G1" s="2" t="s">
        <v>45</v>
      </c>
      <c r="H1" s="2" t="s">
        <v>46</v>
      </c>
      <c r="I1" s="2" t="s">
        <v>47</v>
      </c>
      <c r="J1" s="2" t="s">
        <v>48</v>
      </c>
      <c r="K1" s="2" t="s">
        <v>49</v>
      </c>
      <c r="L1" s="2" t="s">
        <v>50</v>
      </c>
      <c r="M1" s="2" t="s">
        <v>51</v>
      </c>
      <c r="N1" s="2" t="s">
        <v>52</v>
      </c>
      <c r="O1" s="2" t="s">
        <v>53</v>
      </c>
      <c r="P1" s="2" t="s">
        <v>54</v>
      </c>
      <c r="Q1" s="2" t="s">
        <v>1</v>
      </c>
      <c r="R1" s="2" t="s">
        <v>2</v>
      </c>
      <c r="S1" s="2" t="s">
        <v>3</v>
      </c>
      <c r="T1" s="2" t="s">
        <v>55</v>
      </c>
      <c r="U1" s="2" t="s">
        <v>56</v>
      </c>
      <c r="V1" s="2" t="s">
        <v>57</v>
      </c>
      <c r="W1" s="2" t="s">
        <v>58</v>
      </c>
      <c r="X1" s="2" t="s">
        <v>59</v>
      </c>
      <c r="Y1" s="2" t="s">
        <v>60</v>
      </c>
      <c r="Z1" s="2" t="s">
        <v>61</v>
      </c>
      <c r="AA1" s="3" t="s">
        <v>62</v>
      </c>
      <c r="AB1" s="3" t="s">
        <v>63</v>
      </c>
      <c r="AC1" s="3" t="s">
        <v>64</v>
      </c>
      <c r="AD1" s="3" t="s">
        <v>65</v>
      </c>
      <c r="AE1" s="3" t="s">
        <v>66</v>
      </c>
      <c r="AF1" s="3" t="s">
        <v>67</v>
      </c>
      <c r="AG1" s="3" t="s">
        <v>68</v>
      </c>
    </row>
    <row customHeight="1" ht="20" r="2" s="1" spans="1:33">
      <c r="A2" s="4" t="s">
        <v>8</v>
      </c>
      <c r="B2" s="5" t="s">
        <v>69</v>
      </c>
      <c r="C2" s="4" t="s">
        <v>22</v>
      </c>
      <c r="D2" s="4" t="s">
        <v>70</v>
      </c>
      <c r="E2" s="4" t="s">
        <v>71</v>
      </c>
      <c r="F2" s="4" t="n">
        <v>2500</v>
      </c>
      <c r="G2" s="4" t="n">
        <v>1906.1</v>
      </c>
      <c r="H2" s="4" t="n">
        <v>1945</v>
      </c>
      <c r="I2" s="4" t="s">
        <v>72</v>
      </c>
      <c r="J2" s="6" t="n">
        <v>1</v>
      </c>
      <c r="K2" s="7" t="n">
        <v>0.07099999999999999</v>
      </c>
      <c r="L2" s="4" t="n">
        <v>41</v>
      </c>
      <c r="M2" s="4" t="s">
        <v>73</v>
      </c>
      <c r="N2" s="7" t="n">
        <v>0.045</v>
      </c>
      <c r="O2" s="4" t="n">
        <v>0</v>
      </c>
      <c r="P2" s="4" t="n">
        <v>1918</v>
      </c>
      <c r="Q2" s="4">
        <f>GDelta(I2,P2,G2,L2/245,N2,O2,K2)*J2 </f>
        <v/>
      </c>
      <c r="R2" s="4">
        <f>GGamma(P2,G2,L2/245,N2,O2,K2)*J2 </f>
        <v/>
      </c>
      <c r="S2" s="4">
        <f>GVega(P2,G2,L2/245,N2,O2,K2)/100*J2 </f>
        <v/>
      </c>
      <c r="T2" s="4">
        <f>GTheta(I2,P2,G2,L2/245,N2,O2,K2)/245*J2 </f>
        <v/>
      </c>
      <c r="U2" s="4">
        <f>GRho(I2,P2,G2,L2/245,N2,O2,K2)/100 </f>
        <v/>
      </c>
      <c r="V2" s="4">
        <f> Q2 * F2 * P2</f>
        <v/>
      </c>
      <c r="W2" s="4">
        <f> R2 * F2 * P2 * P2/100</f>
        <v/>
      </c>
      <c r="X2" s="4">
        <f> S2 * F2 </f>
        <v/>
      </c>
      <c r="Y2" s="4">
        <f> T2 * F2 </f>
        <v/>
      </c>
      <c r="Z2" s="4">
        <f> U2 * F2 </f>
        <v/>
      </c>
      <c r="AA2" s="4" t="s">
        <v>74</v>
      </c>
      <c r="AB2" s="4" t="n">
        <v>1910</v>
      </c>
      <c r="AC2" s="4">
        <f>GDelta(I2,AB2,G2,(L2+1)/245,N2,O2,K2)*J2 </f>
        <v/>
      </c>
      <c r="AD2" s="4">
        <f>GGamma(AB2,G2,(L2+1)/245,N2,O2,K2)*J2 </f>
        <v/>
      </c>
      <c r="AE2" s="4">
        <f>GVega(AB2,G2,(L2+1)/245,N2,O2,K2)/100*J2 </f>
        <v/>
      </c>
      <c r="AF2" s="4">
        <f>GTheta(I2,AB2,G2,(L2+1)/245,N2,O2,K2)/245*J2 </f>
        <v/>
      </c>
      <c r="AG2" s="4">
        <f>GRho(I2,AB2,G2,(L2+1)/245,N2,O2,K2)/100 </f>
        <v/>
      </c>
    </row>
    <row customHeight="1" ht="20" r="3" s="1" spans="1:33">
      <c r="A3" s="4" t="s">
        <v>9</v>
      </c>
      <c r="B3" s="8" t="s">
        <v>75</v>
      </c>
      <c r="C3" s="4" t="s">
        <v>31</v>
      </c>
      <c r="D3" s="4" t="s">
        <v>70</v>
      </c>
      <c r="E3" s="4" t="s">
        <v>71</v>
      </c>
      <c r="F3" s="4" t="n">
        <v>1000</v>
      </c>
      <c r="G3" s="4" t="n">
        <v>11000</v>
      </c>
      <c r="H3" s="4" t="n">
        <v>11770</v>
      </c>
      <c r="I3" s="4" t="s">
        <v>72</v>
      </c>
      <c r="J3" s="6" t="n">
        <v>1</v>
      </c>
      <c r="K3" s="7" t="n">
        <v>0.21</v>
      </c>
      <c r="L3" s="4" t="n">
        <v>71</v>
      </c>
      <c r="M3" s="4" t="s">
        <v>73</v>
      </c>
      <c r="N3" s="7" t="n">
        <v>0.045</v>
      </c>
      <c r="O3" s="4" t="n">
        <v>0</v>
      </c>
      <c r="P3" s="4" t="n">
        <v>12805</v>
      </c>
      <c r="Q3" s="4">
        <f>GDelta(I3,P3,G3,L3/245,N3,O3,K3)*J3 </f>
        <v/>
      </c>
      <c r="R3" s="4">
        <f>GGamma(P3,G3,L3/245,N3,O3,K3)*J3 </f>
        <v/>
      </c>
      <c r="S3" s="4">
        <f>GVega(P3,G3,L3/245,N3,O3,K3)/100*J3 </f>
        <v/>
      </c>
      <c r="T3" s="4">
        <f>GTheta(I3,P3,G3,L3/245,N3,O3,K3)/245*J3 </f>
        <v/>
      </c>
      <c r="U3" s="4">
        <f>GRho(I3,P3,G3,L3/245,N3,O3,K3)/100 </f>
        <v/>
      </c>
      <c r="V3" s="4">
        <f> Q3 * F3 * P3</f>
        <v/>
      </c>
      <c r="W3" s="4">
        <f> R3 * F3 * P3 * P3/100</f>
        <v/>
      </c>
      <c r="X3" s="4">
        <f> S3 * F3 </f>
        <v/>
      </c>
      <c r="Y3" s="4">
        <f> T3 * F3 </f>
        <v/>
      </c>
      <c r="Z3" s="4">
        <f> U3 * F3 </f>
        <v/>
      </c>
      <c r="AA3" s="4" t="s">
        <v>74</v>
      </c>
      <c r="AB3" s="4" t="n">
        <v>12960</v>
      </c>
      <c r="AC3" s="4">
        <f>GDelta(I3,AB3,G3,(L3+1)/245,N3,O3,K3)*J3 </f>
        <v/>
      </c>
      <c r="AD3" s="4">
        <f>GGamma(AB3,G3,(L3+1)/245,N3,O3,K3)*J3 </f>
        <v/>
      </c>
      <c r="AE3" s="4">
        <f>GVega(AB3,G3,(L3+1)/245,N3,O3,K3)/100*J3 </f>
        <v/>
      </c>
      <c r="AF3" s="4">
        <f>GTheta(I3,AB3,G3,(L3+1)/245,N3,O3,K3)/245*J3 </f>
        <v/>
      </c>
      <c r="AG3" s="4">
        <f>GRho(I3,AB3,G3,(L3+1)/245,N3,O3,K3)/100 </f>
        <v/>
      </c>
    </row>
    <row customHeight="1" ht="20" r="4" s="1" spans="1:33">
      <c r="A4" s="4" t="s">
        <v>9</v>
      </c>
      <c r="B4" s="8" t="s">
        <v>75</v>
      </c>
      <c r="C4" s="4" t="s">
        <v>31</v>
      </c>
      <c r="D4" s="4" t="s">
        <v>70</v>
      </c>
      <c r="E4" s="4" t="s">
        <v>71</v>
      </c>
      <c r="F4" s="4" t="n">
        <v>1000</v>
      </c>
      <c r="G4" s="4" t="n">
        <v>10500</v>
      </c>
      <c r="H4" s="4" t="n">
        <v>11735</v>
      </c>
      <c r="I4" s="4" t="s">
        <v>72</v>
      </c>
      <c r="J4" s="6" t="n">
        <v>1</v>
      </c>
      <c r="K4" s="7" t="n">
        <v>0.185</v>
      </c>
      <c r="L4" s="4" t="n">
        <v>71</v>
      </c>
      <c r="M4" s="4" t="s">
        <v>73</v>
      </c>
      <c r="N4" s="7" t="n">
        <v>0.045</v>
      </c>
      <c r="O4" s="4" t="n">
        <v>0</v>
      </c>
      <c r="P4" s="4" t="n">
        <v>12805</v>
      </c>
      <c r="Q4" s="4">
        <f>GDelta(I4,P4,G4,L4/245,N4,O4,K4)*J4 </f>
        <v/>
      </c>
      <c r="R4" s="4">
        <f>GGamma(P4,G4,L4/245,N4,O4,K4)*J4 </f>
        <v/>
      </c>
      <c r="S4" s="4">
        <f>GVega(P4,G4,L4/245,N4,O4,K4)/100*J4 </f>
        <v/>
      </c>
      <c r="T4" s="4">
        <f>GTheta(I4,P4,G4,L4/245,N4,O4,K4)/245*J4 </f>
        <v/>
      </c>
      <c r="U4" s="4">
        <f>GRho(I4,P4,G4,L4/245,N4,O4,K4)/100 </f>
        <v/>
      </c>
      <c r="V4" s="4">
        <f> Q4 * F4 * P4</f>
        <v/>
      </c>
      <c r="W4" s="4">
        <f> R4 * F4 * P4 * P4/100</f>
        <v/>
      </c>
      <c r="X4" s="4">
        <f> S4 * F4 </f>
        <v/>
      </c>
      <c r="Y4" s="4">
        <f> T4 * F4 </f>
        <v/>
      </c>
      <c r="Z4" s="4">
        <f> U4 * F4 </f>
        <v/>
      </c>
      <c r="AA4" s="4" t="s">
        <v>74</v>
      </c>
      <c r="AB4" s="4" t="n">
        <v>12960</v>
      </c>
      <c r="AC4" s="4">
        <f>GDelta(I4,AB4,G4,(L4+1)/245,N4,O4,K4)*J4 </f>
        <v/>
      </c>
      <c r="AD4" s="4">
        <f>GGamma(AB4,G4,(L4+1)/245,N4,O4,K4)*J4 </f>
        <v/>
      </c>
      <c r="AE4" s="4">
        <f>GVega(AB4,G4,(L4+1)/245,N4,O4,K4)/100*J4 </f>
        <v/>
      </c>
      <c r="AF4" s="4">
        <f>GTheta(I4,AB4,G4,(L4+1)/245,N4,O4,K4)/245*J4 </f>
        <v/>
      </c>
      <c r="AG4" s="4">
        <f>GRho(I4,AB4,G4,(L4+1)/245,N4,O4,K4)/100 </f>
        <v/>
      </c>
    </row>
    <row customHeight="1" ht="20" r="5" s="1" spans="1:33">
      <c r="A5" s="4" t="s">
        <v>9</v>
      </c>
      <c r="B5" s="8" t="s">
        <v>76</v>
      </c>
      <c r="C5" s="4" t="s">
        <v>32</v>
      </c>
      <c r="D5" s="4" t="s">
        <v>77</v>
      </c>
      <c r="E5" s="4" t="s">
        <v>78</v>
      </c>
      <c r="F5" s="4" t="n">
        <v>1500</v>
      </c>
      <c r="G5" s="4" t="n">
        <v>2916</v>
      </c>
      <c r="H5" s="4" t="n">
        <v>2916</v>
      </c>
      <c r="I5" s="4" t="s">
        <v>79</v>
      </c>
      <c r="J5" s="6" t="n">
        <v>-1</v>
      </c>
      <c r="K5" s="7" t="n">
        <v>0.242</v>
      </c>
      <c r="L5" s="4" t="n">
        <v>12</v>
      </c>
      <c r="M5" s="4" t="s">
        <v>73</v>
      </c>
      <c r="N5" s="7" t="n">
        <v>0.045</v>
      </c>
      <c r="O5" s="4" t="n">
        <v>0</v>
      </c>
      <c r="P5" s="4" t="n">
        <v>3202</v>
      </c>
      <c r="Q5" s="4">
        <f>GDelta(I5,P5,G5,L5/245,N5,O5,K5)*J5 </f>
        <v/>
      </c>
      <c r="R5" s="4">
        <f>GGamma(P5,G5,L5/245,N5,O5,K5)*J5 </f>
        <v/>
      </c>
      <c r="S5" s="4">
        <f>GVega(P5,G5,L5/245,N5,O5,K5)/100*J5 </f>
        <v/>
      </c>
      <c r="T5" s="4">
        <f>GTheta(I5,P5,G5,L5/245,N5,O5,K5)/245*J5 </f>
        <v/>
      </c>
      <c r="U5" s="4">
        <f>GRho(I5,P5,G5,L5/245,N5,O5,K5)/100 </f>
        <v/>
      </c>
      <c r="V5" s="4">
        <f> Q5 * F5 * P5</f>
        <v/>
      </c>
      <c r="W5" s="4">
        <f> R5 * F5 * P5 * P5/100</f>
        <v/>
      </c>
      <c r="X5" s="4">
        <f> S5 * F5 </f>
        <v/>
      </c>
      <c r="Y5" s="4">
        <f> T5 * F5 </f>
        <v/>
      </c>
      <c r="Z5" s="4">
        <f> U5 * F5 </f>
        <v/>
      </c>
      <c r="AA5" s="4" t="s">
        <v>74</v>
      </c>
      <c r="AB5" s="4" t="n">
        <v>3188</v>
      </c>
      <c r="AC5" s="4">
        <f>GDelta(I5,AB5,G5,(L5+1)/245,N5,O5,K5)*J5 </f>
        <v/>
      </c>
      <c r="AD5" s="4">
        <f>GGamma(AB5,G5,(L5+1)/245,N5,O5,K5)*J5 </f>
        <v/>
      </c>
      <c r="AE5" s="4">
        <f>GVega(AB5,G5,(L5+1)/245,N5,O5,K5)/100*J5 </f>
        <v/>
      </c>
      <c r="AF5" s="4">
        <f>GTheta(I5,AB5,G5,(L5+1)/245,N5,O5,K5)/245*J5 </f>
        <v/>
      </c>
      <c r="AG5" s="4">
        <f>GRho(I5,AB5,G5,(L5+1)/245,N5,O5,K5)/100 </f>
        <v/>
      </c>
    </row>
    <row customHeight="1" ht="20" r="6" s="1" spans="1:33">
      <c r="A6" s="4" t="s">
        <v>9</v>
      </c>
      <c r="B6" s="8" t="s">
        <v>76</v>
      </c>
      <c r="C6" s="4" t="s">
        <v>32</v>
      </c>
      <c r="D6" s="4" t="s">
        <v>77</v>
      </c>
      <c r="E6" s="4" t="s">
        <v>80</v>
      </c>
      <c r="F6" s="4" t="n">
        <v>1500</v>
      </c>
      <c r="G6" s="4" t="n">
        <v>2916</v>
      </c>
      <c r="H6" s="4" t="n">
        <v>2916</v>
      </c>
      <c r="I6" s="4" t="s">
        <v>72</v>
      </c>
      <c r="J6" s="6" t="n">
        <v>-1</v>
      </c>
      <c r="K6" s="7" t="n">
        <v>0.242</v>
      </c>
      <c r="L6" s="4" t="n">
        <v>12</v>
      </c>
      <c r="M6" s="4" t="s">
        <v>73</v>
      </c>
      <c r="N6" s="7" t="n">
        <v>0.045</v>
      </c>
      <c r="O6" s="4" t="n">
        <v>0</v>
      </c>
      <c r="P6" s="4" t="n">
        <v>3202</v>
      </c>
      <c r="Q6" s="4">
        <f>GDelta(I6,P6,G6,L6/245,N6,O6,K6)*J6 </f>
        <v/>
      </c>
      <c r="R6" s="4">
        <f>GGamma(P6,G6,L6/245,N6,O6,K6)*J6 </f>
        <v/>
      </c>
      <c r="S6" s="4">
        <f>GVega(P6,G6,L6/245,N6,O6,K6)/100*J6 </f>
        <v/>
      </c>
      <c r="T6" s="4">
        <f>GTheta(I6,P6,G6,L6/245,N6,O6,K6)/245*J6 </f>
        <v/>
      </c>
      <c r="U6" s="4">
        <f>GRho(I6,P6,G6,L6/245,N6,O6,K6)/100 </f>
        <v/>
      </c>
      <c r="V6" s="4">
        <f> Q6 * F6 * P6</f>
        <v/>
      </c>
      <c r="W6" s="4">
        <f> R6 * F6 * P6 * P6/100</f>
        <v/>
      </c>
      <c r="X6" s="4">
        <f> S6 * F6 </f>
        <v/>
      </c>
      <c r="Y6" s="4">
        <f> T6 * F6 </f>
        <v/>
      </c>
      <c r="Z6" s="4">
        <f> U6 * F6 </f>
        <v/>
      </c>
      <c r="AA6" s="4" t="s">
        <v>74</v>
      </c>
      <c r="AB6" s="4" t="n">
        <v>3188</v>
      </c>
      <c r="AC6" s="4">
        <f>GDelta(I6,AB6,G6,(L6+1)/245,N6,O6,K6)*J6 </f>
        <v/>
      </c>
      <c r="AD6" s="4">
        <f>GGamma(AB6,G6,(L6+1)/245,N6,O6,K6)*J6 </f>
        <v/>
      </c>
      <c r="AE6" s="4">
        <f>GVega(AB6,G6,(L6+1)/245,N6,O6,K6)/100*J6 </f>
        <v/>
      </c>
      <c r="AF6" s="4">
        <f>GTheta(I6,AB6,G6,(L6+1)/245,N6,O6,K6)/245*J6 </f>
        <v/>
      </c>
      <c r="AG6" s="4">
        <f>GRho(I6,AB6,G6,(L6+1)/245,N6,O6,K6)/100 </f>
        <v/>
      </c>
    </row>
    <row customHeight="1" ht="20" r="7" s="1" spans="1:33">
      <c r="A7" s="4" t="s">
        <v>9</v>
      </c>
      <c r="B7" s="8" t="s">
        <v>69</v>
      </c>
      <c r="C7" s="4" t="s">
        <v>32</v>
      </c>
      <c r="D7" s="4" t="s">
        <v>70</v>
      </c>
      <c r="E7" s="4" t="s">
        <v>81</v>
      </c>
      <c r="F7" s="4" t="n">
        <v>1500</v>
      </c>
      <c r="G7" s="4" t="n">
        <v>2916</v>
      </c>
      <c r="H7" s="4" t="n">
        <v>2916</v>
      </c>
      <c r="I7" s="4" t="s">
        <v>79</v>
      </c>
      <c r="J7" s="6" t="n">
        <v>1</v>
      </c>
      <c r="K7" s="7" t="n">
        <v>0.233</v>
      </c>
      <c r="L7" s="4" t="n">
        <v>12</v>
      </c>
      <c r="M7" s="4" t="s">
        <v>73</v>
      </c>
      <c r="N7" s="7" t="n">
        <v>0.045</v>
      </c>
      <c r="O7" s="4" t="n">
        <v>0</v>
      </c>
      <c r="P7" s="4" t="n">
        <v>3202</v>
      </c>
      <c r="Q7" s="4">
        <f>GDelta(I7,P7,G7,L7/245,N7,O7,K7)*J7 </f>
        <v/>
      </c>
      <c r="R7" s="4">
        <f>GGamma(P7,G7,L7/245,N7,O7,K7)*J7 </f>
        <v/>
      </c>
      <c r="S7" s="4">
        <f>GVega(P7,G7,L7/245,N7,O7,K7)/100*J7 </f>
        <v/>
      </c>
      <c r="T7" s="4">
        <f>GTheta(I7,P7,G7,L7/245,N7,O7,K7)/245*J7 </f>
        <v/>
      </c>
      <c r="U7" s="4">
        <f>GRho(I7,P7,G7,L7/245,N7,O7,K7)/100 </f>
        <v/>
      </c>
      <c r="V7" s="4">
        <f> Q7 * F7 * P7</f>
        <v/>
      </c>
      <c r="W7" s="4">
        <f> R7 * F7 * P7 * P7/100</f>
        <v/>
      </c>
      <c r="X7" s="4">
        <f> S7 * F7 </f>
        <v/>
      </c>
      <c r="Y7" s="4">
        <f> T7 * F7 </f>
        <v/>
      </c>
      <c r="Z7" s="4">
        <f> U7 * F7 </f>
        <v/>
      </c>
      <c r="AA7" s="4" t="s">
        <v>74</v>
      </c>
      <c r="AB7" s="4" t="n">
        <v>3188</v>
      </c>
      <c r="AC7" s="4">
        <f>GDelta(I7,AB7,G7,(L7+1)/245,N7,O7,K7)*J7 </f>
        <v/>
      </c>
      <c r="AD7" s="4">
        <f>GGamma(AB7,G7,(L7+1)/245,N7,O7,K7)*J7 </f>
        <v/>
      </c>
      <c r="AE7" s="4">
        <f>GVega(AB7,G7,(L7+1)/245,N7,O7,K7)/100*J7 </f>
        <v/>
      </c>
      <c r="AF7" s="4">
        <f>GTheta(I7,AB7,G7,(L7+1)/245,N7,O7,K7)/245*J7 </f>
        <v/>
      </c>
      <c r="AG7" s="4">
        <f>GRho(I7,AB7,G7,(L7+1)/245,N7,O7,K7)/100 </f>
        <v/>
      </c>
    </row>
    <row customHeight="1" ht="20" r="8" s="1" spans="1:33">
      <c r="A8" s="4" t="s">
        <v>9</v>
      </c>
      <c r="B8" s="8" t="s">
        <v>69</v>
      </c>
      <c r="C8" s="4" t="s">
        <v>32</v>
      </c>
      <c r="D8" s="4" t="s">
        <v>70</v>
      </c>
      <c r="E8" s="4" t="s">
        <v>71</v>
      </c>
      <c r="F8" s="4" t="n">
        <v>1500</v>
      </c>
      <c r="G8" s="4" t="n">
        <v>2916</v>
      </c>
      <c r="H8" s="4" t="n">
        <v>2916</v>
      </c>
      <c r="I8" s="4" t="s">
        <v>72</v>
      </c>
      <c r="J8" s="6" t="n">
        <v>1</v>
      </c>
      <c r="K8" s="7" t="n">
        <v>0.233</v>
      </c>
      <c r="L8" s="4" t="n">
        <v>12</v>
      </c>
      <c r="M8" s="4" t="s">
        <v>73</v>
      </c>
      <c r="N8" s="7" t="n">
        <v>0.045</v>
      </c>
      <c r="O8" s="4" t="n">
        <v>0</v>
      </c>
      <c r="P8" s="4" t="n">
        <v>3202</v>
      </c>
      <c r="Q8" s="4">
        <f>GDelta(I8,P8,G8,L8/245,N8,O8,K8)*J8 </f>
        <v/>
      </c>
      <c r="R8" s="4">
        <f>GGamma(P8,G8,L8/245,N8,O8,K8)*J8 </f>
        <v/>
      </c>
      <c r="S8" s="4">
        <f>GVega(P8,G8,L8/245,N8,O8,K8)/100*J8 </f>
        <v/>
      </c>
      <c r="T8" s="4">
        <f>GTheta(I8,P8,G8,L8/245,N8,O8,K8)/245*J8 </f>
        <v/>
      </c>
      <c r="U8" s="4">
        <f>GRho(I8,P8,G8,L8/245,N8,O8,K8)/100 </f>
        <v/>
      </c>
      <c r="V8" s="4">
        <f> Q8 * F8 * P8</f>
        <v/>
      </c>
      <c r="W8" s="4">
        <f> R8 * F8 * P8 * P8/100</f>
        <v/>
      </c>
      <c r="X8" s="4">
        <f> S8 * F8 </f>
        <v/>
      </c>
      <c r="Y8" s="4">
        <f> T8 * F8 </f>
        <v/>
      </c>
      <c r="Z8" s="4">
        <f> U8 * F8 </f>
        <v/>
      </c>
      <c r="AA8" s="4" t="s">
        <v>74</v>
      </c>
      <c r="AB8" s="4" t="n">
        <v>3188</v>
      </c>
      <c r="AC8" s="4">
        <f>GDelta(I8,AB8,G8,(L8+1)/245,N8,O8,K8)*J8 </f>
        <v/>
      </c>
      <c r="AD8" s="4">
        <f>GGamma(AB8,G8,(L8+1)/245,N8,O8,K8)*J8 </f>
        <v/>
      </c>
      <c r="AE8" s="4">
        <f>GVega(AB8,G8,(L8+1)/245,N8,O8,K8)/100*J8 </f>
        <v/>
      </c>
      <c r="AF8" s="4">
        <f>GTheta(I8,AB8,G8,(L8+1)/245,N8,O8,K8)/245*J8 </f>
        <v/>
      </c>
      <c r="AG8" s="4">
        <f>GRho(I8,AB8,G8,(L8+1)/245,N8,O8,K8)/100 </f>
        <v/>
      </c>
    </row>
    <row customHeight="1" ht="20" r="9" s="1" spans="1:33">
      <c r="A9" s="9" t="s">
        <v>9</v>
      </c>
      <c r="B9" s="9" t="s">
        <v>82</v>
      </c>
      <c r="C9" s="9" t="s">
        <v>33</v>
      </c>
      <c r="D9" s="9" t="s">
        <v>70</v>
      </c>
      <c r="E9" s="9" t="s">
        <v>83</v>
      </c>
      <c r="F9" s="9" t="n"/>
      <c r="G9" s="9" t="n"/>
      <c r="H9" s="9" t="n">
        <v>13825</v>
      </c>
      <c r="I9" s="9" t="s">
        <v>72</v>
      </c>
      <c r="J9" s="10" t="n">
        <v>1</v>
      </c>
      <c r="K9" s="11" t="n"/>
      <c r="L9" s="9" t="n">
        <v>23</v>
      </c>
      <c r="M9" s="9" t="s">
        <v>73</v>
      </c>
      <c r="N9" s="11" t="n">
        <v>0.045</v>
      </c>
      <c r="O9" s="9" t="n">
        <v>0</v>
      </c>
      <c r="P9" s="9" t="n">
        <v>14030</v>
      </c>
      <c r="Q9" s="9">
        <f>GDelta(I9,P9,G9,L9/245,N9,O9,K9)*J9 </f>
        <v/>
      </c>
      <c r="R9" s="9">
        <f>GGamma(P9,G9,L9/245,N9,O9,K9)*J9 </f>
        <v/>
      </c>
      <c r="S9" s="9">
        <f>GVega(P9,G9,L9/245,N9,O9,K9)/100*J9 </f>
        <v/>
      </c>
      <c r="T9" s="9">
        <f>GTheta(I9,P9,G9,L9/245,N9,O9,K9)/245*J9 </f>
        <v/>
      </c>
      <c r="U9" s="9">
        <f>GRho(I9,P9,G9,L9/245,N9,O9,K9)/100 </f>
        <v/>
      </c>
      <c r="V9" s="9">
        <f> Q9 * F9 * P9</f>
        <v/>
      </c>
      <c r="W9" s="9">
        <f> R9 * F9 * P9 * P9/100</f>
        <v/>
      </c>
      <c r="X9" s="9">
        <f> S9 * F9 </f>
        <v/>
      </c>
      <c r="Y9" s="9">
        <f> T9 * F9 </f>
        <v/>
      </c>
      <c r="Z9" s="9">
        <f> U9 * F9 </f>
        <v/>
      </c>
      <c r="AA9" s="9" t="s">
        <v>74</v>
      </c>
      <c r="AB9" s="9" t="n">
        <v>14045</v>
      </c>
      <c r="AC9" s="9">
        <f>GDelta(I9,AB9,G9,(L9+1)/245,N9,O9,K9)*J9 </f>
        <v/>
      </c>
      <c r="AD9" s="9">
        <f>GGamma(AB9,G9,(L9+1)/245,N9,O9,K9)*J9 </f>
        <v/>
      </c>
      <c r="AE9" s="9">
        <f>GVega(AB9,G9,(L9+1)/245,N9,O9,K9)/100*J9 </f>
        <v/>
      </c>
      <c r="AF9" s="9">
        <f>GTheta(I9,AB9,G9,(L9+1)/245,N9,O9,K9)/245*J9 </f>
        <v/>
      </c>
      <c r="AG9" s="9">
        <f>GRho(I9,AB9,G9,(L9+1)/245,N9,O9,K9)/100 </f>
        <v/>
      </c>
    </row>
    <row customHeight="1" ht="20" r="10" s="1" spans="1:33">
      <c r="A10" s="9" t="s">
        <v>9</v>
      </c>
      <c r="B10" s="9" t="s">
        <v>82</v>
      </c>
      <c r="C10" s="9" t="s">
        <v>34</v>
      </c>
      <c r="D10" s="9" t="s">
        <v>77</v>
      </c>
      <c r="E10" s="9" t="s">
        <v>83</v>
      </c>
      <c r="F10" s="9" t="n"/>
      <c r="G10" s="9" t="n"/>
      <c r="H10" s="9" t="n">
        <v>13845</v>
      </c>
      <c r="I10" s="9" t="s">
        <v>72</v>
      </c>
      <c r="J10" s="10" t="n">
        <v>-1</v>
      </c>
      <c r="K10" s="11" t="n"/>
      <c r="L10" s="9" t="n">
        <v>23</v>
      </c>
      <c r="M10" s="9" t="s">
        <v>73</v>
      </c>
      <c r="N10" s="11" t="n">
        <v>0.045</v>
      </c>
      <c r="O10" s="9" t="n">
        <v>0</v>
      </c>
      <c r="P10" s="9" t="n">
        <v>14010</v>
      </c>
      <c r="Q10" s="9">
        <f>GDelta(I10,P10,G10,L10/245,N10,O10,K10)*J10 </f>
        <v/>
      </c>
      <c r="R10" s="9">
        <f>GGamma(P10,G10,L10/245,N10,O10,K10)*J10 </f>
        <v/>
      </c>
      <c r="S10" s="9">
        <f>GVega(P10,G10,L10/245,N10,O10,K10)/100*J10 </f>
        <v/>
      </c>
      <c r="T10" s="9">
        <f>GTheta(I10,P10,G10,L10/245,N10,O10,K10)/245*J10 </f>
        <v/>
      </c>
      <c r="U10" s="9">
        <f>GRho(I10,P10,G10,L10/245,N10,O10,K10)/100 </f>
        <v/>
      </c>
      <c r="V10" s="9">
        <f> Q10 * F10 * P10</f>
        <v/>
      </c>
      <c r="W10" s="9">
        <f> R10 * F10 * P10 * P10/100</f>
        <v/>
      </c>
      <c r="X10" s="9">
        <f> S10 * F10 </f>
        <v/>
      </c>
      <c r="Y10" s="9">
        <f> T10 * F10 </f>
        <v/>
      </c>
      <c r="Z10" s="9">
        <f> U10 * F10 </f>
        <v/>
      </c>
      <c r="AA10" s="9" t="s">
        <v>74</v>
      </c>
      <c r="AB10" s="9" t="n">
        <v>14020</v>
      </c>
      <c r="AC10" s="9">
        <f>GDelta(I10,AB10,G10,(L10+1)/245,N10,O10,K10)*J10 </f>
        <v/>
      </c>
      <c r="AD10" s="9">
        <f>GGamma(AB10,G10,(L10+1)/245,N10,O10,K10)*J10 </f>
        <v/>
      </c>
      <c r="AE10" s="9">
        <f>GVega(AB10,G10,(L10+1)/245,N10,O10,K10)/100*J10 </f>
        <v/>
      </c>
      <c r="AF10" s="9">
        <f>GTheta(I10,AB10,G10,(L10+1)/245,N10,O10,K10)/245*J10 </f>
        <v/>
      </c>
      <c r="AG10" s="9">
        <f>GRho(I10,AB10,G10,(L10+1)/245,N10,O10,K10)/100 </f>
        <v/>
      </c>
    </row>
    <row customHeight="1" ht="20" r="11" s="1" spans="1:33">
      <c r="A11" s="4" t="s">
        <v>9</v>
      </c>
      <c r="B11" s="8" t="s">
        <v>75</v>
      </c>
      <c r="C11" s="4" t="s">
        <v>31</v>
      </c>
      <c r="D11" s="4" t="s">
        <v>70</v>
      </c>
      <c r="E11" s="4" t="s">
        <v>71</v>
      </c>
      <c r="F11" s="4" t="n">
        <v>1000</v>
      </c>
      <c r="G11" s="4" t="n">
        <v>11200</v>
      </c>
      <c r="H11" s="4" t="n">
        <v>12105</v>
      </c>
      <c r="I11" s="4" t="s">
        <v>72</v>
      </c>
      <c r="J11" s="6" t="n">
        <v>1</v>
      </c>
      <c r="K11" s="7" t="n">
        <v>0.172</v>
      </c>
      <c r="L11" s="4" t="n">
        <v>71</v>
      </c>
      <c r="M11" s="4" t="s">
        <v>73</v>
      </c>
      <c r="N11" s="7" t="n">
        <v>0.045</v>
      </c>
      <c r="O11" s="4" t="n">
        <v>0</v>
      </c>
      <c r="P11" s="4" t="n">
        <v>12805</v>
      </c>
      <c r="Q11" s="4">
        <f>GDelta(I11,P11,G11,L11/245,N11,O11,K11)*J11 </f>
        <v/>
      </c>
      <c r="R11" s="4">
        <f>GGamma(P11,G11,L11/245,N11,O11,K11)*J11 </f>
        <v/>
      </c>
      <c r="S11" s="4">
        <f>GVega(P11,G11,L11/245,N11,O11,K11)/100*J11 </f>
        <v/>
      </c>
      <c r="T11" s="4">
        <f>GTheta(I11,P11,G11,L11/245,N11,O11,K11)/245*J11 </f>
        <v/>
      </c>
      <c r="U11" s="4">
        <f>GRho(I11,P11,G11,L11/245,N11,O11,K11)/100 </f>
        <v/>
      </c>
      <c r="V11" s="4">
        <f> Q11 * F11 * P11</f>
        <v/>
      </c>
      <c r="W11" s="4">
        <f> R11 * F11 * P11 * P11/100</f>
        <v/>
      </c>
      <c r="X11" s="4">
        <f> S11 * F11 </f>
        <v/>
      </c>
      <c r="Y11" s="4">
        <f> T11 * F11 </f>
        <v/>
      </c>
      <c r="Z11" s="4">
        <f> U11 * F11 </f>
        <v/>
      </c>
      <c r="AA11" s="4" t="s">
        <v>74</v>
      </c>
      <c r="AB11" s="4" t="n">
        <v>12960</v>
      </c>
      <c r="AC11" s="4">
        <f>GDelta(I11,AB11,G11,(L11+1)/245,N11,O11,K11)*J11 </f>
        <v/>
      </c>
      <c r="AD11" s="4">
        <f>GGamma(AB11,G11,(L11+1)/245,N11,O11,K11)*J11 </f>
        <v/>
      </c>
      <c r="AE11" s="4">
        <f>GVega(AB11,G11,(L11+1)/245,N11,O11,K11)/100*J11 </f>
        <v/>
      </c>
      <c r="AF11" s="4">
        <f>GTheta(I11,AB11,G11,(L11+1)/245,N11,O11,K11)/245*J11 </f>
        <v/>
      </c>
      <c r="AG11" s="4">
        <f>GRho(I11,AB11,G11,(L11+1)/245,N11,O11,K11)/100 </f>
        <v/>
      </c>
    </row>
    <row customHeight="1" ht="20" r="12" s="1" spans="1:33">
      <c r="A12" s="4" t="s">
        <v>9</v>
      </c>
      <c r="B12" s="8" t="s">
        <v>84</v>
      </c>
      <c r="C12" s="4" t="s">
        <v>32</v>
      </c>
      <c r="D12" s="4" t="s">
        <v>70</v>
      </c>
      <c r="E12" s="4" t="s">
        <v>81</v>
      </c>
      <c r="F12" s="4" t="n">
        <v>1500</v>
      </c>
      <c r="G12" s="4" t="n">
        <v>2948.4</v>
      </c>
      <c r="H12" s="4" t="n">
        <v>2808</v>
      </c>
      <c r="I12" s="4" t="s">
        <v>79</v>
      </c>
      <c r="J12" s="6" t="n">
        <v>1</v>
      </c>
      <c r="K12" s="7" t="n">
        <v>0.233</v>
      </c>
      <c r="L12" s="4" t="n">
        <v>46</v>
      </c>
      <c r="M12" s="4" t="s">
        <v>73</v>
      </c>
      <c r="N12" s="7" t="n">
        <v>0.045</v>
      </c>
      <c r="O12" s="4" t="n">
        <v>0</v>
      </c>
      <c r="P12" s="4" t="n">
        <v>3202</v>
      </c>
      <c r="Q12" s="4">
        <f>GDelta(I12,P12,G12,L12/245,N12,O12,K12)*J12 </f>
        <v/>
      </c>
      <c r="R12" s="4">
        <f>GGamma(P12,G12,L12/245,N12,O12,K12)*J12 </f>
        <v/>
      </c>
      <c r="S12" s="4">
        <f>GVega(P12,G12,L12/245,N12,O12,K12)/100*J12 </f>
        <v/>
      </c>
      <c r="T12" s="4">
        <f>GTheta(I12,P12,G12,L12/245,N12,O12,K12)/245*J12 </f>
        <v/>
      </c>
      <c r="U12" s="4">
        <f>GRho(I12,P12,G12,L12/245,N12,O12,K12)/100 </f>
        <v/>
      </c>
      <c r="V12" s="4">
        <f> Q12 * F12 * P12</f>
        <v/>
      </c>
      <c r="W12" s="4">
        <f> R12 * F12 * P12 * P12/100</f>
        <v/>
      </c>
      <c r="X12" s="4">
        <f> S12 * F12 </f>
        <v/>
      </c>
      <c r="Y12" s="4">
        <f> T12 * F12 </f>
        <v/>
      </c>
      <c r="Z12" s="4">
        <f> U12 * F12 </f>
        <v/>
      </c>
      <c r="AA12" s="4" t="s">
        <v>74</v>
      </c>
      <c r="AB12" s="4" t="n">
        <v>3188</v>
      </c>
      <c r="AC12" s="4">
        <f>GDelta(I12,AB12,G12,(L12+1)/245,N12,O12,K12)*J12 </f>
        <v/>
      </c>
      <c r="AD12" s="4">
        <f>GGamma(AB12,G12,(L12+1)/245,N12,O12,K12)*J12 </f>
        <v/>
      </c>
      <c r="AE12" s="4">
        <f>GVega(AB12,G12,(L12+1)/245,N12,O12,K12)/100*J12 </f>
        <v/>
      </c>
      <c r="AF12" s="4">
        <f>GTheta(I12,AB12,G12,(L12+1)/245,N12,O12,K12)/245*J12 </f>
        <v/>
      </c>
      <c r="AG12" s="4">
        <f>GRho(I12,AB12,G12,(L12+1)/245,N12,O12,K12)/100 </f>
        <v/>
      </c>
    </row>
    <row customHeight="1" ht="20" r="13" s="1" spans="1:33">
      <c r="A13" s="4" t="s">
        <v>9</v>
      </c>
      <c r="B13" s="8" t="s">
        <v>84</v>
      </c>
      <c r="C13" s="4" t="s">
        <v>32</v>
      </c>
      <c r="D13" s="4" t="s">
        <v>70</v>
      </c>
      <c r="E13" s="4" t="s">
        <v>71</v>
      </c>
      <c r="F13" s="4" t="n">
        <v>1500</v>
      </c>
      <c r="G13" s="4" t="n">
        <v>2667.6</v>
      </c>
      <c r="H13" s="4" t="n">
        <v>2808</v>
      </c>
      <c r="I13" s="4" t="s">
        <v>72</v>
      </c>
      <c r="J13" s="6" t="n">
        <v>1</v>
      </c>
      <c r="K13" s="7" t="n">
        <v>0.233</v>
      </c>
      <c r="L13" s="4" t="n">
        <v>46</v>
      </c>
      <c r="M13" s="4" t="s">
        <v>73</v>
      </c>
      <c r="N13" s="7" t="n">
        <v>0.045</v>
      </c>
      <c r="O13" s="4" t="n">
        <v>0</v>
      </c>
      <c r="P13" s="4" t="n">
        <v>3202</v>
      </c>
      <c r="Q13" s="4">
        <f>GDelta(I13,P13,G13,L13/245,N13,O13,K13)*J13 </f>
        <v/>
      </c>
      <c r="R13" s="4">
        <f>GGamma(P13,G13,L13/245,N13,O13,K13)*J13 </f>
        <v/>
      </c>
      <c r="S13" s="4">
        <f>GVega(P13,G13,L13/245,N13,O13,K13)/100*J13 </f>
        <v/>
      </c>
      <c r="T13" s="4">
        <f>GTheta(I13,P13,G13,L13/245,N13,O13,K13)/245*J13 </f>
        <v/>
      </c>
      <c r="U13" s="4">
        <f>GRho(I13,P13,G13,L13/245,N13,O13,K13)/100 </f>
        <v/>
      </c>
      <c r="V13" s="4">
        <f> Q13 * F13 * P13</f>
        <v/>
      </c>
      <c r="W13" s="4">
        <f> R13 * F13 * P13 * P13/100</f>
        <v/>
      </c>
      <c r="X13" s="4">
        <f> S13 * F13 </f>
        <v/>
      </c>
      <c r="Y13" s="4">
        <f> T13 * F13 </f>
        <v/>
      </c>
      <c r="Z13" s="4">
        <f> U13 * F13 </f>
        <v/>
      </c>
      <c r="AA13" s="4" t="s">
        <v>74</v>
      </c>
      <c r="AB13" s="4" t="n">
        <v>3188</v>
      </c>
      <c r="AC13" s="4">
        <f>GDelta(I13,AB13,G13,(L13+1)/245,N13,O13,K13)*J13 </f>
        <v/>
      </c>
      <c r="AD13" s="4">
        <f>GGamma(AB13,G13,(L13+1)/245,N13,O13,K13)*J13 </f>
        <v/>
      </c>
      <c r="AE13" s="4">
        <f>GVega(AB13,G13,(L13+1)/245,N13,O13,K13)/100*J13 </f>
        <v/>
      </c>
      <c r="AF13" s="4">
        <f>GTheta(I13,AB13,G13,(L13+1)/245,N13,O13,K13)/245*J13 </f>
        <v/>
      </c>
      <c r="AG13" s="4">
        <f>GRho(I13,AB13,G13,(L13+1)/245,N13,O13,K13)/100 </f>
        <v/>
      </c>
    </row>
    <row customHeight="1" ht="20" r="14" s="1" spans="1:33">
      <c r="A14" s="4" t="s">
        <v>10</v>
      </c>
      <c r="B14" s="12" t="s">
        <v>85</v>
      </c>
      <c r="C14" s="4" t="s">
        <v>37</v>
      </c>
      <c r="D14" s="4" t="s">
        <v>70</v>
      </c>
      <c r="E14" s="4" t="s">
        <v>71</v>
      </c>
      <c r="F14" s="4" t="n">
        <v>2000</v>
      </c>
      <c r="G14" s="4" t="n">
        <v>3320</v>
      </c>
      <c r="H14" s="4" t="n">
        <v>3425</v>
      </c>
      <c r="I14" s="4" t="s">
        <v>72</v>
      </c>
      <c r="J14" s="6" t="n">
        <v>1</v>
      </c>
      <c r="K14" s="7" t="n">
        <v>0.16</v>
      </c>
      <c r="L14" s="4" t="n">
        <v>12</v>
      </c>
      <c r="M14" s="4" t="s">
        <v>73</v>
      </c>
      <c r="N14" s="7" t="n">
        <v>0.045</v>
      </c>
      <c r="O14" s="4" t="n">
        <v>0</v>
      </c>
      <c r="P14" s="4" t="n">
        <v>3547</v>
      </c>
      <c r="Q14" s="4">
        <f>GDelta(I14,P14,G14,L14/245,N14,O14,K14)*J14 </f>
        <v/>
      </c>
      <c r="R14" s="4">
        <f>GGamma(P14,G14,L14/245,N14,O14,K14)*J14 </f>
        <v/>
      </c>
      <c r="S14" s="4">
        <f>GVega(P14,G14,L14/245,N14,O14,K14)/100*J14 </f>
        <v/>
      </c>
      <c r="T14" s="4">
        <f>GTheta(I14,P14,G14,L14/245,N14,O14,K14)/245*J14 </f>
        <v/>
      </c>
      <c r="U14" s="4">
        <f>GRho(I14,P14,G14,L14/245,N14,O14,K14)/100 </f>
        <v/>
      </c>
      <c r="V14" s="4">
        <f> Q14 * F14 * P14</f>
        <v/>
      </c>
      <c r="W14" s="4">
        <f> R14 * F14 * P14 * P14/100</f>
        <v/>
      </c>
      <c r="X14" s="4">
        <f> S14 * F14 </f>
        <v/>
      </c>
      <c r="Y14" s="4">
        <f> T14 * F14 </f>
        <v/>
      </c>
      <c r="Z14" s="4">
        <f> U14 * F14 </f>
        <v/>
      </c>
      <c r="AA14" s="4" t="s">
        <v>74</v>
      </c>
      <c r="AB14" s="4" t="n">
        <v>3569</v>
      </c>
      <c r="AC14" s="4">
        <f>GDelta(I14,AB14,G14,(L14+1)/245,N14,O14,K14)*J14 </f>
        <v/>
      </c>
      <c r="AD14" s="4">
        <f>GGamma(AB14,G14,(L14+1)/245,N14,O14,K14)*J14 </f>
        <v/>
      </c>
      <c r="AE14" s="4">
        <f>GVega(AB14,G14,(L14+1)/245,N14,O14,K14)/100*J14 </f>
        <v/>
      </c>
      <c r="AF14" s="4">
        <f>GTheta(I14,AB14,G14,(L14+1)/245,N14,O14,K14)/245*J14 </f>
        <v/>
      </c>
      <c r="AG14" s="4">
        <f>GRho(I14,AB14,G14,(L14+1)/245,N14,O14,K14)/100 </f>
        <v/>
      </c>
    </row>
    <row customHeight="1" ht="20" r="15" s="1" spans="1:33">
      <c r="A15" s="4" t="s">
        <v>10</v>
      </c>
      <c r="B15" s="12" t="s">
        <v>76</v>
      </c>
      <c r="C15" s="4" t="s">
        <v>37</v>
      </c>
      <c r="D15" s="4" t="s">
        <v>77</v>
      </c>
      <c r="E15" s="4" t="s">
        <v>80</v>
      </c>
      <c r="F15" s="4" t="n">
        <v>2000</v>
      </c>
      <c r="G15" s="4" t="n">
        <v>3433</v>
      </c>
      <c r="H15" s="4" t="n">
        <v>3433</v>
      </c>
      <c r="I15" s="4" t="s">
        <v>72</v>
      </c>
      <c r="J15" s="6" t="n">
        <v>-1</v>
      </c>
      <c r="K15" s="7" t="n">
        <v>0.1685</v>
      </c>
      <c r="L15" s="4" t="n">
        <v>12</v>
      </c>
      <c r="M15" s="4" t="s">
        <v>73</v>
      </c>
      <c r="N15" s="7" t="n">
        <v>0.045</v>
      </c>
      <c r="O15" s="4" t="n">
        <v>0</v>
      </c>
      <c r="P15" s="4" t="n">
        <v>3547</v>
      </c>
      <c r="Q15" s="4">
        <f>GDelta(I15,P15,G15,L15/245,N15,O15,K15)*J15 </f>
        <v/>
      </c>
      <c r="R15" s="4">
        <f>GGamma(P15,G15,L15/245,N15,O15,K15)*J15 </f>
        <v/>
      </c>
      <c r="S15" s="4">
        <f>GVega(P15,G15,L15/245,N15,O15,K15)/100*J15 </f>
        <v/>
      </c>
      <c r="T15" s="4">
        <f>GTheta(I15,P15,G15,L15/245,N15,O15,K15)/245*J15 </f>
        <v/>
      </c>
      <c r="U15" s="4">
        <f>GRho(I15,P15,G15,L15/245,N15,O15,K15)/100 </f>
        <v/>
      </c>
      <c r="V15" s="4">
        <f> Q15 * F15 * P15</f>
        <v/>
      </c>
      <c r="W15" s="4">
        <f> R15 * F15 * P15 * P15/100</f>
        <v/>
      </c>
      <c r="X15" s="4">
        <f> S15 * F15 </f>
        <v/>
      </c>
      <c r="Y15" s="4">
        <f> T15 * F15 </f>
        <v/>
      </c>
      <c r="Z15" s="4">
        <f> U15 * F15 </f>
        <v/>
      </c>
      <c r="AA15" s="4" t="s">
        <v>74</v>
      </c>
      <c r="AB15" s="4" t="n">
        <v>3569</v>
      </c>
      <c r="AC15" s="4">
        <f>GDelta(I15,AB15,G15,(L15+1)/245,N15,O15,K15)*J15 </f>
        <v/>
      </c>
      <c r="AD15" s="4">
        <f>GGamma(AB15,G15,(L15+1)/245,N15,O15,K15)*J15 </f>
        <v/>
      </c>
      <c r="AE15" s="4">
        <f>GVega(AB15,G15,(L15+1)/245,N15,O15,K15)/100*J15 </f>
        <v/>
      </c>
      <c r="AF15" s="4">
        <f>GTheta(I15,AB15,G15,(L15+1)/245,N15,O15,K15)/245*J15 </f>
        <v/>
      </c>
      <c r="AG15" s="4">
        <f>GRho(I15,AB15,G15,(L15+1)/245,N15,O15,K15)/100 </f>
        <v/>
      </c>
    </row>
    <row customHeight="1" ht="20" r="16" s="1" spans="1:33">
      <c r="A16" s="4" t="s">
        <v>8</v>
      </c>
      <c r="B16" s="5" t="s">
        <v>86</v>
      </c>
      <c r="C16" s="4" t="s">
        <v>23</v>
      </c>
      <c r="D16" s="4" t="s">
        <v>70</v>
      </c>
      <c r="E16" s="4" t="s">
        <v>81</v>
      </c>
      <c r="F16" s="4" t="n">
        <v>50</v>
      </c>
      <c r="G16" s="4" t="n">
        <v>50550</v>
      </c>
      <c r="H16" s="4" t="n">
        <v>48610</v>
      </c>
      <c r="I16" s="4" t="s">
        <v>79</v>
      </c>
      <c r="J16" s="6" t="n">
        <v>1</v>
      </c>
      <c r="K16" s="7" t="n">
        <v>0.152</v>
      </c>
      <c r="L16" s="4" t="n">
        <v>3</v>
      </c>
      <c r="M16" s="4" t="s">
        <v>73</v>
      </c>
      <c r="N16" s="7" t="n">
        <v>0.045</v>
      </c>
      <c r="O16" s="4" t="n">
        <v>0</v>
      </c>
      <c r="P16" s="4" t="n">
        <v>49230</v>
      </c>
      <c r="Q16" s="4">
        <f>GDelta(I16,P16,G16,L16/245,N16,O16,K16)*J16 </f>
        <v/>
      </c>
      <c r="R16" s="4">
        <f>GGamma(P16,G16,L16/245,N16,O16,K16)*J16 </f>
        <v/>
      </c>
      <c r="S16" s="4">
        <f>GVega(P16,G16,L16/245,N16,O16,K16)/100*J16 </f>
        <v/>
      </c>
      <c r="T16" s="4">
        <f>GTheta(I16,P16,G16,L16/245,N16,O16,K16)/245*J16 </f>
        <v/>
      </c>
      <c r="U16" s="4">
        <f>GRho(I16,P16,G16,L16/245,N16,O16,K16)/100 </f>
        <v/>
      </c>
      <c r="V16" s="4">
        <f> Q16 * F16 * P16</f>
        <v/>
      </c>
      <c r="W16" s="4">
        <f> R16 * F16 * P16 * P16/100</f>
        <v/>
      </c>
      <c r="X16" s="4">
        <f> S16 * F16 </f>
        <v/>
      </c>
      <c r="Y16" s="4">
        <f> T16 * F16 </f>
        <v/>
      </c>
      <c r="Z16" s="4">
        <f> U16 * F16 </f>
        <v/>
      </c>
      <c r="AA16" s="4" t="s">
        <v>74</v>
      </c>
      <c r="AB16" s="4" t="n">
        <v>49150</v>
      </c>
      <c r="AC16" s="4">
        <f>GDelta(I16,AB16,G16,(L16+1)/245,N16,O16,K16)*J16 </f>
        <v/>
      </c>
      <c r="AD16" s="4">
        <f>GGamma(AB16,G16,(L16+1)/245,N16,O16,K16)*J16 </f>
        <v/>
      </c>
      <c r="AE16" s="4">
        <f>GVega(AB16,G16,(L16+1)/245,N16,O16,K16)/100*J16 </f>
        <v/>
      </c>
      <c r="AF16" s="4">
        <f>GTheta(I16,AB16,G16,(L16+1)/245,N16,O16,K16)/245*J16 </f>
        <v/>
      </c>
      <c r="AG16" s="4">
        <f>GRho(I16,AB16,G16,(L16+1)/245,N16,O16,K16)/100 </f>
        <v/>
      </c>
    </row>
    <row customHeight="1" ht="20" r="17" s="1" spans="1:33">
      <c r="A17" s="4" t="s">
        <v>8</v>
      </c>
      <c r="B17" s="5" t="s">
        <v>86</v>
      </c>
      <c r="C17" s="4" t="s">
        <v>23</v>
      </c>
      <c r="D17" s="4" t="s">
        <v>70</v>
      </c>
      <c r="E17" s="4" t="s">
        <v>71</v>
      </c>
      <c r="F17" s="4" t="n">
        <v>50</v>
      </c>
      <c r="G17" s="4" t="n">
        <v>46670</v>
      </c>
      <c r="H17" s="4" t="n">
        <v>48610</v>
      </c>
      <c r="I17" s="4" t="s">
        <v>72</v>
      </c>
      <c r="J17" s="6" t="n">
        <v>1</v>
      </c>
      <c r="K17" s="7" t="n">
        <v>0.152</v>
      </c>
      <c r="L17" s="4" t="n">
        <v>3</v>
      </c>
      <c r="M17" s="4" t="s">
        <v>73</v>
      </c>
      <c r="N17" s="7" t="n">
        <v>0.045</v>
      </c>
      <c r="O17" s="4" t="n">
        <v>0</v>
      </c>
      <c r="P17" s="4" t="n">
        <v>49230</v>
      </c>
      <c r="Q17" s="4">
        <f>GDelta(I17,P17,G17,L17/245,N17,O17,K17)*J17 </f>
        <v/>
      </c>
      <c r="R17" s="4">
        <f>GGamma(P17,G17,L17/245,N17,O17,K17)*J17 </f>
        <v/>
      </c>
      <c r="S17" s="4">
        <f>GVega(P17,G17,L17/245,N17,O17,K17)/100*J17 </f>
        <v/>
      </c>
      <c r="T17" s="4">
        <f>GTheta(I17,P17,G17,L17/245,N17,O17,K17)/245*J17 </f>
        <v/>
      </c>
      <c r="U17" s="4">
        <f>GRho(I17,P17,G17,L17/245,N17,O17,K17)/100 </f>
        <v/>
      </c>
      <c r="V17" s="4">
        <f> Q17 * F17 * P17</f>
        <v/>
      </c>
      <c r="W17" s="4">
        <f> R17 * F17 * P17 * P17/100</f>
        <v/>
      </c>
      <c r="X17" s="4">
        <f> S17 * F17 </f>
        <v/>
      </c>
      <c r="Y17" s="4">
        <f> T17 * F17 </f>
        <v/>
      </c>
      <c r="Z17" s="4">
        <f> U17 * F17 </f>
        <v/>
      </c>
      <c r="AA17" s="4" t="s">
        <v>74</v>
      </c>
      <c r="AB17" s="4" t="n">
        <v>49150</v>
      </c>
      <c r="AC17" s="4">
        <f>GDelta(I17,AB17,G17,(L17+1)/245,N17,O17,K17)*J17 </f>
        <v/>
      </c>
      <c r="AD17" s="4">
        <f>GGamma(AB17,G17,(L17+1)/245,N17,O17,K17)*J17 </f>
        <v/>
      </c>
      <c r="AE17" s="4">
        <f>GVega(AB17,G17,(L17+1)/245,N17,O17,K17)/100*J17 </f>
        <v/>
      </c>
      <c r="AF17" s="4">
        <f>GTheta(I17,AB17,G17,(L17+1)/245,N17,O17,K17)/245*J17 </f>
        <v/>
      </c>
      <c r="AG17" s="4">
        <f>GRho(I17,AB17,G17,(L17+1)/245,N17,O17,K17)/100 </f>
        <v/>
      </c>
    </row>
    <row customHeight="1" ht="20" r="18" s="1" spans="1:33">
      <c r="A18" s="4" t="s">
        <v>9</v>
      </c>
      <c r="B18" s="8" t="s">
        <v>87</v>
      </c>
      <c r="C18" s="4" t="s">
        <v>35</v>
      </c>
      <c r="D18" s="4" t="s">
        <v>77</v>
      </c>
      <c r="E18" s="4" t="s">
        <v>81</v>
      </c>
      <c r="F18" s="4" t="n">
        <v>500</v>
      </c>
      <c r="G18" s="4" t="n">
        <v>6630</v>
      </c>
      <c r="H18" s="4" t="n">
        <v>6630</v>
      </c>
      <c r="I18" s="4" t="s">
        <v>79</v>
      </c>
      <c r="J18" s="6" t="n">
        <v>-1</v>
      </c>
      <c r="K18" s="7" t="n">
        <v>0.135</v>
      </c>
      <c r="L18" s="4" t="n">
        <v>6</v>
      </c>
      <c r="M18" s="4" t="s">
        <v>73</v>
      </c>
      <c r="N18" s="7" t="n">
        <v>0.045</v>
      </c>
      <c r="O18" s="4" t="n">
        <v>0</v>
      </c>
      <c r="P18" s="4" t="n">
        <v>6500</v>
      </c>
      <c r="Q18" s="4">
        <f>GDelta(I18,P18,G18,L18/245,N18,O18,K18)*J18 </f>
        <v/>
      </c>
      <c r="R18" s="4">
        <f>GGamma(P18,G18,L18/245,N18,O18,K18)*J18 </f>
        <v/>
      </c>
      <c r="S18" s="4">
        <f>GVega(P18,G18,L18/245,N18,O18,K18)/100*J18 </f>
        <v/>
      </c>
      <c r="T18" s="4">
        <f>GTheta(I18,P18,G18,L18/245,N18,O18,K18)/245*J18 </f>
        <v/>
      </c>
      <c r="U18" s="4">
        <f>GRho(I18,P18,G18,L18/245,N18,O18,K18)/100 </f>
        <v/>
      </c>
      <c r="V18" s="4">
        <f> Q18 * F18 * P18</f>
        <v/>
      </c>
      <c r="W18" s="4">
        <f> R18 * F18 * P18 * P18/100</f>
        <v/>
      </c>
      <c r="X18" s="4">
        <f> S18 * F18 </f>
        <v/>
      </c>
      <c r="Y18" s="4">
        <f> T18 * F18 </f>
        <v/>
      </c>
      <c r="Z18" s="4">
        <f> U18 * F18 </f>
        <v/>
      </c>
      <c r="AA18" s="4" t="s">
        <v>74</v>
      </c>
      <c r="AB18" s="4" t="n">
        <v>6525</v>
      </c>
      <c r="AC18" s="4">
        <f>GDelta(I18,AB18,G18,(L18+1)/245,N18,O18,K18)*J18 </f>
        <v/>
      </c>
      <c r="AD18" s="4">
        <f>GGamma(AB18,G18,(L18+1)/245,N18,O18,K18)*J18 </f>
        <v/>
      </c>
      <c r="AE18" s="4">
        <f>GVega(AB18,G18,(L18+1)/245,N18,O18,K18)/100*J18 </f>
        <v/>
      </c>
      <c r="AF18" s="4">
        <f>GTheta(I18,AB18,G18,(L18+1)/245,N18,O18,K18)/245*J18 </f>
        <v/>
      </c>
      <c r="AG18" s="4">
        <f>GRho(I18,AB18,G18,(L18+1)/245,N18,O18,K18)/100 </f>
        <v/>
      </c>
    </row>
    <row customHeight="1" ht="20" r="19" s="1" spans="1:33">
      <c r="A19" s="4" t="s">
        <v>9</v>
      </c>
      <c r="B19" s="8" t="s">
        <v>87</v>
      </c>
      <c r="C19" s="4" t="s">
        <v>35</v>
      </c>
      <c r="D19" s="4" t="s">
        <v>77</v>
      </c>
      <c r="E19" s="4" t="s">
        <v>71</v>
      </c>
      <c r="F19" s="4" t="n">
        <v>500</v>
      </c>
      <c r="G19" s="4" t="n">
        <v>6630</v>
      </c>
      <c r="H19" s="4" t="n">
        <v>6630</v>
      </c>
      <c r="I19" s="4" t="s">
        <v>72</v>
      </c>
      <c r="J19" s="6" t="n">
        <v>-1</v>
      </c>
      <c r="K19" s="7" t="n">
        <v>0.135</v>
      </c>
      <c r="L19" s="4" t="n">
        <v>6</v>
      </c>
      <c r="M19" s="4" t="s">
        <v>73</v>
      </c>
      <c r="N19" s="7" t="n">
        <v>0.045</v>
      </c>
      <c r="O19" s="4" t="n">
        <v>0</v>
      </c>
      <c r="P19" s="4" t="n">
        <v>6500</v>
      </c>
      <c r="Q19" s="4">
        <f>GDelta(I19,P19,G19,L19/245,N19,O19,K19)*J19 </f>
        <v/>
      </c>
      <c r="R19" s="4">
        <f>GGamma(P19,G19,L19/245,N19,O19,K19)*J19 </f>
        <v/>
      </c>
      <c r="S19" s="4">
        <f>GVega(P19,G19,L19/245,N19,O19,K19)/100*J19 </f>
        <v/>
      </c>
      <c r="T19" s="4">
        <f>GTheta(I19,P19,G19,L19/245,N19,O19,K19)/245*J19 </f>
        <v/>
      </c>
      <c r="U19" s="4">
        <f>GRho(I19,P19,G19,L19/245,N19,O19,K19)/100 </f>
        <v/>
      </c>
      <c r="V19" s="4">
        <f> Q19 * F19 * P19</f>
        <v/>
      </c>
      <c r="W19" s="4">
        <f> R19 * F19 * P19 * P19/100</f>
        <v/>
      </c>
      <c r="X19" s="4">
        <f> S19 * F19 </f>
        <v/>
      </c>
      <c r="Y19" s="4">
        <f> T19 * F19 </f>
        <v/>
      </c>
      <c r="Z19" s="4">
        <f> U19 * F19 </f>
        <v/>
      </c>
      <c r="AA19" s="4" t="s">
        <v>74</v>
      </c>
      <c r="AB19" s="4" t="n">
        <v>6525</v>
      </c>
      <c r="AC19" s="4">
        <f>GDelta(I19,AB19,G19,(L19+1)/245,N19,O19,K19)*J19 </f>
        <v/>
      </c>
      <c r="AD19" s="4">
        <f>GGamma(AB19,G19,(L19+1)/245,N19,O19,K19)*J19 </f>
        <v/>
      </c>
      <c r="AE19" s="4">
        <f>GVega(AB19,G19,(L19+1)/245,N19,O19,K19)/100*J19 </f>
        <v/>
      </c>
      <c r="AF19" s="4">
        <f>GTheta(I19,AB19,G19,(L19+1)/245,N19,O19,K19)/245*J19 </f>
        <v/>
      </c>
      <c r="AG19" s="4">
        <f>GRho(I19,AB19,G19,(L19+1)/245,N19,O19,K19)/100 </f>
        <v/>
      </c>
    </row>
    <row customHeight="1" ht="20" r="20" s="1" spans="1:33">
      <c r="A20" s="4" t="s">
        <v>9</v>
      </c>
      <c r="B20" s="8" t="s">
        <v>88</v>
      </c>
      <c r="C20" s="4" t="s">
        <v>31</v>
      </c>
      <c r="D20" s="4" t="s">
        <v>77</v>
      </c>
      <c r="E20" s="4" t="s">
        <v>78</v>
      </c>
      <c r="F20" s="4" t="n">
        <v>350</v>
      </c>
      <c r="G20" s="4" t="n">
        <v>13210</v>
      </c>
      <c r="H20" s="4" t="n">
        <v>13210</v>
      </c>
      <c r="I20" s="4" t="s">
        <v>79</v>
      </c>
      <c r="J20" s="6" t="n">
        <v>-1</v>
      </c>
      <c r="K20" s="7" t="n">
        <v>0.19</v>
      </c>
      <c r="L20" s="4" t="n">
        <v>7</v>
      </c>
      <c r="M20" s="4" t="s">
        <v>73</v>
      </c>
      <c r="N20" s="7" t="n">
        <v>0.045</v>
      </c>
      <c r="O20" s="4" t="n">
        <v>0</v>
      </c>
      <c r="P20" s="4" t="n">
        <v>12805</v>
      </c>
      <c r="Q20" s="4">
        <f>GDelta(I20,P20,G20,L20/245,N20,O20,K20)*J20 </f>
        <v/>
      </c>
      <c r="R20" s="4">
        <f>GGamma(P20,G20,L20/245,N20,O20,K20)*J20 </f>
        <v/>
      </c>
      <c r="S20" s="4">
        <f>GVega(P20,G20,L20/245,N20,O20,K20)/100*J20 </f>
        <v/>
      </c>
      <c r="T20" s="4">
        <f>GTheta(I20,P20,G20,L20/245,N20,O20,K20)/245*J20 </f>
        <v/>
      </c>
      <c r="U20" s="4">
        <f>GRho(I20,P20,G20,L20/245,N20,O20,K20)/100 </f>
        <v/>
      </c>
      <c r="V20" s="4">
        <f> Q20 * F20 * P20</f>
        <v/>
      </c>
      <c r="W20" s="4">
        <f> R20 * F20 * P20 * P20/100</f>
        <v/>
      </c>
      <c r="X20" s="4">
        <f> S20 * F20 </f>
        <v/>
      </c>
      <c r="Y20" s="4">
        <f> T20 * F20 </f>
        <v/>
      </c>
      <c r="Z20" s="4">
        <f> U20 * F20 </f>
        <v/>
      </c>
      <c r="AA20" s="4" t="s">
        <v>74</v>
      </c>
      <c r="AB20" s="4" t="n">
        <v>12960</v>
      </c>
      <c r="AC20" s="4">
        <f>GDelta(I20,AB20,G20,(L20+1)/245,N20,O20,K20)*J20 </f>
        <v/>
      </c>
      <c r="AD20" s="4">
        <f>GGamma(AB20,G20,(L20+1)/245,N20,O20,K20)*J20 </f>
        <v/>
      </c>
      <c r="AE20" s="4">
        <f>GVega(AB20,G20,(L20+1)/245,N20,O20,K20)/100*J20 </f>
        <v/>
      </c>
      <c r="AF20" s="4">
        <f>GTheta(I20,AB20,G20,(L20+1)/245,N20,O20,K20)/245*J20 </f>
        <v/>
      </c>
      <c r="AG20" s="4">
        <f>GRho(I20,AB20,G20,(L20+1)/245,N20,O20,K20)/100 </f>
        <v/>
      </c>
    </row>
    <row customHeight="1" ht="20" r="21" s="1" spans="1:33">
      <c r="A21" s="4" t="s">
        <v>9</v>
      </c>
      <c r="B21" s="8" t="s">
        <v>88</v>
      </c>
      <c r="C21" s="4" t="s">
        <v>31</v>
      </c>
      <c r="D21" s="4" t="s">
        <v>77</v>
      </c>
      <c r="E21" s="4" t="s">
        <v>80</v>
      </c>
      <c r="F21" s="4" t="n">
        <v>350</v>
      </c>
      <c r="G21" s="4" t="n">
        <v>13210</v>
      </c>
      <c r="H21" s="4" t="n">
        <v>13210</v>
      </c>
      <c r="I21" s="4" t="s">
        <v>72</v>
      </c>
      <c r="J21" s="6" t="n">
        <v>-1</v>
      </c>
      <c r="K21" s="7" t="n">
        <v>0.19</v>
      </c>
      <c r="L21" s="4" t="n">
        <v>7</v>
      </c>
      <c r="M21" s="4" t="s">
        <v>73</v>
      </c>
      <c r="N21" s="7" t="n">
        <v>0.045</v>
      </c>
      <c r="O21" s="4" t="n">
        <v>0</v>
      </c>
      <c r="P21" s="4" t="n">
        <v>12805</v>
      </c>
      <c r="Q21" s="4">
        <f>GDelta(I21,P21,G21,L21/245,N21,O21,K21)*J21 </f>
        <v/>
      </c>
      <c r="R21" s="4">
        <f>GGamma(P21,G21,L21/245,N21,O21,K21)*J21 </f>
        <v/>
      </c>
      <c r="S21" s="4">
        <f>GVega(P21,G21,L21/245,N21,O21,K21)/100*J21 </f>
        <v/>
      </c>
      <c r="T21" s="4">
        <f>GTheta(I21,P21,G21,L21/245,N21,O21,K21)/245*J21 </f>
        <v/>
      </c>
      <c r="U21" s="4">
        <f>GRho(I21,P21,G21,L21/245,N21,O21,K21)/100 </f>
        <v/>
      </c>
      <c r="V21" s="4">
        <f> Q21 * F21 * P21</f>
        <v/>
      </c>
      <c r="W21" s="4">
        <f> R21 * F21 * P21 * P21/100</f>
        <v/>
      </c>
      <c r="X21" s="4">
        <f> S21 * F21 </f>
        <v/>
      </c>
      <c r="Y21" s="4">
        <f> T21 * F21 </f>
        <v/>
      </c>
      <c r="Z21" s="4">
        <f> U21 * F21 </f>
        <v/>
      </c>
      <c r="AA21" s="4" t="s">
        <v>74</v>
      </c>
      <c r="AB21" s="4" t="n">
        <v>12960</v>
      </c>
      <c r="AC21" s="4">
        <f>GDelta(I21,AB21,G21,(L21+1)/245,N21,O21,K21)*J21 </f>
        <v/>
      </c>
      <c r="AD21" s="4">
        <f>GGamma(AB21,G21,(L21+1)/245,N21,O21,K21)*J21 </f>
        <v/>
      </c>
      <c r="AE21" s="4">
        <f>GVega(AB21,G21,(L21+1)/245,N21,O21,K21)/100*J21 </f>
        <v/>
      </c>
      <c r="AF21" s="4">
        <f>GTheta(I21,AB21,G21,(L21+1)/245,N21,O21,K21)/245*J21 </f>
        <v/>
      </c>
      <c r="AG21" s="4">
        <f>GRho(I21,AB21,G21,(L21+1)/245,N21,O21,K21)/100 </f>
        <v/>
      </c>
    </row>
    <row customHeight="1" ht="20" r="22" s="1" spans="1:33">
      <c r="A22" s="4" t="s">
        <v>9</v>
      </c>
      <c r="B22" s="8" t="s">
        <v>89</v>
      </c>
      <c r="C22" s="4" t="s">
        <v>31</v>
      </c>
      <c r="D22" s="4" t="s">
        <v>77</v>
      </c>
      <c r="E22" s="4" t="s">
        <v>71</v>
      </c>
      <c r="F22" s="4" t="n">
        <v>1000</v>
      </c>
      <c r="G22" s="4" t="n">
        <v>14000</v>
      </c>
      <c r="H22" s="4" t="n">
        <v>13240</v>
      </c>
      <c r="I22" s="4" t="s">
        <v>72</v>
      </c>
      <c r="J22" s="6" t="n">
        <v>-1</v>
      </c>
      <c r="K22" s="7" t="n">
        <v>0.215</v>
      </c>
      <c r="L22" s="4" t="n">
        <v>7</v>
      </c>
      <c r="M22" s="4" t="s">
        <v>73</v>
      </c>
      <c r="N22" s="7" t="n">
        <v>0.045</v>
      </c>
      <c r="O22" s="4" t="n">
        <v>0</v>
      </c>
      <c r="P22" s="4" t="n">
        <v>12805</v>
      </c>
      <c r="Q22" s="4">
        <f>GDelta(I22,P22,G22,L22/245,N22,O22,K22)*J22 </f>
        <v/>
      </c>
      <c r="R22" s="4">
        <f>GGamma(P22,G22,L22/245,N22,O22,K22)*J22 </f>
        <v/>
      </c>
      <c r="S22" s="4">
        <f>GVega(P22,G22,L22/245,N22,O22,K22)/100*J22 </f>
        <v/>
      </c>
      <c r="T22" s="4">
        <f>GTheta(I22,P22,G22,L22/245,N22,O22,K22)/245*J22 </f>
        <v/>
      </c>
      <c r="U22" s="4">
        <f>GRho(I22,P22,G22,L22/245,N22,O22,K22)/100 </f>
        <v/>
      </c>
      <c r="V22" s="4">
        <f> Q22 * F22 * P22</f>
        <v/>
      </c>
      <c r="W22" s="4">
        <f> R22 * F22 * P22 * P22/100</f>
        <v/>
      </c>
      <c r="X22" s="4">
        <f> S22 * F22 </f>
        <v/>
      </c>
      <c r="Y22" s="4">
        <f> T22 * F22 </f>
        <v/>
      </c>
      <c r="Z22" s="4">
        <f> U22 * F22 </f>
        <v/>
      </c>
      <c r="AA22" s="4" t="s">
        <v>74</v>
      </c>
      <c r="AB22" s="4" t="n">
        <v>12960</v>
      </c>
      <c r="AC22" s="4">
        <f>GDelta(I22,AB22,G22,(L22+1)/245,N22,O22,K22)*J22 </f>
        <v/>
      </c>
      <c r="AD22" s="4">
        <f>GGamma(AB22,G22,(L22+1)/245,N22,O22,K22)*J22 </f>
        <v/>
      </c>
      <c r="AE22" s="4">
        <f>GVega(AB22,G22,(L22+1)/245,N22,O22,K22)/100*J22 </f>
        <v/>
      </c>
      <c r="AF22" s="4">
        <f>GTheta(I22,AB22,G22,(L22+1)/245,N22,O22,K22)/245*J22 </f>
        <v/>
      </c>
      <c r="AG22" s="4">
        <f>GRho(I22,AB22,G22,(L22+1)/245,N22,O22,K22)/100 </f>
        <v/>
      </c>
    </row>
    <row customHeight="1" ht="20" r="23" s="1" spans="1:33">
      <c r="A23" s="4" t="s">
        <v>10</v>
      </c>
      <c r="B23" s="12" t="s">
        <v>90</v>
      </c>
      <c r="C23" s="4" t="s">
        <v>30</v>
      </c>
      <c r="D23" s="4" t="s">
        <v>77</v>
      </c>
      <c r="E23" s="4" t="s">
        <v>81</v>
      </c>
      <c r="F23" s="4" t="n">
        <v>10000</v>
      </c>
      <c r="G23" s="4" t="n">
        <v>690</v>
      </c>
      <c r="H23" s="4" t="n">
        <v>650</v>
      </c>
      <c r="I23" s="4" t="s">
        <v>79</v>
      </c>
      <c r="J23" s="6" t="n">
        <v>-1</v>
      </c>
      <c r="K23" s="7" t="n">
        <v>0.2445</v>
      </c>
      <c r="L23" s="4" t="n">
        <v>7</v>
      </c>
      <c r="M23" s="4" t="s">
        <v>73</v>
      </c>
      <c r="N23" s="7" t="n">
        <v>0.045</v>
      </c>
      <c r="O23" s="4" t="n">
        <v>0</v>
      </c>
      <c r="P23" s="4" t="n">
        <v>655.5</v>
      </c>
      <c r="Q23" s="4">
        <f>GDelta(I23,P23,G23,L23/245,N23,O23,K23)*J23 </f>
        <v/>
      </c>
      <c r="R23" s="4">
        <f>GGamma(P23,G23,L23/245,N23,O23,K23)*J23 </f>
        <v/>
      </c>
      <c r="S23" s="4">
        <f>GVega(P23,G23,L23/245,N23,O23,K23)/100*J23 </f>
        <v/>
      </c>
      <c r="T23" s="4">
        <f>GTheta(I23,P23,G23,L23/245,N23,O23,K23)/245*J23 </f>
        <v/>
      </c>
      <c r="U23" s="4">
        <f>GRho(I23,P23,G23,L23/245,N23,O23,K23)/100 </f>
        <v/>
      </c>
      <c r="V23" s="4">
        <f> Q23 * F23 * P23</f>
        <v/>
      </c>
      <c r="W23" s="4">
        <f> R23 * F23 * P23 * P23/100</f>
        <v/>
      </c>
      <c r="X23" s="4">
        <f> S23 * F23 </f>
        <v/>
      </c>
      <c r="Y23" s="4">
        <f> T23 * F23 </f>
        <v/>
      </c>
      <c r="Z23" s="4">
        <f> U23 * F23 </f>
        <v/>
      </c>
      <c r="AA23" s="4" t="s">
        <v>74</v>
      </c>
      <c r="AB23" s="4" t="n">
        <v>648.5</v>
      </c>
      <c r="AC23" s="4">
        <f>GDelta(I23,AB23,G23,(L23+1)/245,N23,O23,K23)*J23 </f>
        <v/>
      </c>
      <c r="AD23" s="4">
        <f>GGamma(AB23,G23,(L23+1)/245,N23,O23,K23)*J23 </f>
        <v/>
      </c>
      <c r="AE23" s="4">
        <f>GVega(AB23,G23,(L23+1)/245,N23,O23,K23)/100*J23 </f>
        <v/>
      </c>
      <c r="AF23" s="4">
        <f>GTheta(I23,AB23,G23,(L23+1)/245,N23,O23,K23)/245*J23 </f>
        <v/>
      </c>
      <c r="AG23" s="4">
        <f>GRho(I23,AB23,G23,(L23+1)/245,N23,O23,K23)/100 </f>
        <v/>
      </c>
    </row>
    <row customHeight="1" ht="20" r="24" s="1" spans="1:33">
      <c r="A24" s="4" t="s">
        <v>9</v>
      </c>
      <c r="B24" s="8" t="s">
        <v>88</v>
      </c>
      <c r="C24" s="4" t="s">
        <v>35</v>
      </c>
      <c r="D24" s="4" t="s">
        <v>70</v>
      </c>
      <c r="E24" s="4" t="s">
        <v>78</v>
      </c>
      <c r="F24" s="4" t="n">
        <v>750</v>
      </c>
      <c r="G24" s="4" t="n">
        <v>6550</v>
      </c>
      <c r="H24" s="4" t="n">
        <v>6550</v>
      </c>
      <c r="I24" s="4" t="s">
        <v>79</v>
      </c>
      <c r="J24" s="6" t="n">
        <v>1</v>
      </c>
      <c r="K24" s="7" t="n">
        <v>0.126</v>
      </c>
      <c r="L24" s="4" t="n">
        <v>7</v>
      </c>
      <c r="M24" s="4" t="s">
        <v>73</v>
      </c>
      <c r="N24" s="7" t="n">
        <v>0.045</v>
      </c>
      <c r="O24" s="4" t="n">
        <v>0</v>
      </c>
      <c r="P24" s="4" t="n">
        <v>6500</v>
      </c>
      <c r="Q24" s="4">
        <f>GDelta(I24,P24,G24,L24/245,N24,O24,K24)*J24 </f>
        <v/>
      </c>
      <c r="R24" s="4">
        <f>GGamma(P24,G24,L24/245,N24,O24,K24)*J24 </f>
        <v/>
      </c>
      <c r="S24" s="4">
        <f>GVega(P24,G24,L24/245,N24,O24,K24)/100*J24 </f>
        <v/>
      </c>
      <c r="T24" s="4">
        <f>GTheta(I24,P24,G24,L24/245,N24,O24,K24)/245*J24 </f>
        <v/>
      </c>
      <c r="U24" s="4">
        <f>GRho(I24,P24,G24,L24/245,N24,O24,K24)/100 </f>
        <v/>
      </c>
      <c r="V24" s="4">
        <f> Q24 * F24 * P24</f>
        <v/>
      </c>
      <c r="W24" s="4">
        <f> R24 * F24 * P24 * P24/100</f>
        <v/>
      </c>
      <c r="X24" s="4">
        <f> S24 * F24 </f>
        <v/>
      </c>
      <c r="Y24" s="4">
        <f> T24 * F24 </f>
        <v/>
      </c>
      <c r="Z24" s="4">
        <f> U24 * F24 </f>
        <v/>
      </c>
      <c r="AA24" s="4" t="s">
        <v>74</v>
      </c>
      <c r="AB24" s="4" t="n">
        <v>6525</v>
      </c>
      <c r="AC24" s="4">
        <f>GDelta(I24,AB24,G24,(L24+1)/245,N24,O24,K24)*J24 </f>
        <v/>
      </c>
      <c r="AD24" s="4">
        <f>GGamma(AB24,G24,(L24+1)/245,N24,O24,K24)*J24 </f>
        <v/>
      </c>
      <c r="AE24" s="4">
        <f>GVega(AB24,G24,(L24+1)/245,N24,O24,K24)/100*J24 </f>
        <v/>
      </c>
      <c r="AF24" s="4">
        <f>GTheta(I24,AB24,G24,(L24+1)/245,N24,O24,K24)/245*J24 </f>
        <v/>
      </c>
      <c r="AG24" s="4">
        <f>GRho(I24,AB24,G24,(L24+1)/245,N24,O24,K24)/100 </f>
        <v/>
      </c>
    </row>
    <row customHeight="1" ht="20" r="25" s="1" spans="1:33">
      <c r="A25" s="4" t="s">
        <v>9</v>
      </c>
      <c r="B25" s="8" t="s">
        <v>88</v>
      </c>
      <c r="C25" s="4" t="s">
        <v>35</v>
      </c>
      <c r="D25" s="4" t="s">
        <v>70</v>
      </c>
      <c r="E25" s="4" t="s">
        <v>80</v>
      </c>
      <c r="F25" s="4" t="n">
        <v>750</v>
      </c>
      <c r="G25" s="4" t="n">
        <v>6550</v>
      </c>
      <c r="H25" s="4" t="n">
        <v>6550</v>
      </c>
      <c r="I25" s="4" t="s">
        <v>72</v>
      </c>
      <c r="J25" s="6" t="n">
        <v>1</v>
      </c>
      <c r="K25" s="7" t="n">
        <v>0.126</v>
      </c>
      <c r="L25" s="4" t="n">
        <v>7</v>
      </c>
      <c r="M25" s="4" t="s">
        <v>73</v>
      </c>
      <c r="N25" s="7" t="n">
        <v>0.045</v>
      </c>
      <c r="O25" s="4" t="n">
        <v>0</v>
      </c>
      <c r="P25" s="4" t="n">
        <v>6500</v>
      </c>
      <c r="Q25" s="4">
        <f>GDelta(I25,P25,G25,L25/245,N25,O25,K25)*J25 </f>
        <v/>
      </c>
      <c r="R25" s="4">
        <f>GGamma(P25,G25,L25/245,N25,O25,K25)*J25 </f>
        <v/>
      </c>
      <c r="S25" s="4">
        <f>GVega(P25,G25,L25/245,N25,O25,K25)/100*J25 </f>
        <v/>
      </c>
      <c r="T25" s="4">
        <f>GTheta(I25,P25,G25,L25/245,N25,O25,K25)/245*J25 </f>
        <v/>
      </c>
      <c r="U25" s="4">
        <f>GRho(I25,P25,G25,L25/245,N25,O25,K25)/100 </f>
        <v/>
      </c>
      <c r="V25" s="4">
        <f> Q25 * F25 * P25</f>
        <v/>
      </c>
      <c r="W25" s="4">
        <f> R25 * F25 * P25 * P25/100</f>
        <v/>
      </c>
      <c r="X25" s="4">
        <f> S25 * F25 </f>
        <v/>
      </c>
      <c r="Y25" s="4">
        <f> T25 * F25 </f>
        <v/>
      </c>
      <c r="Z25" s="4">
        <f> U25 * F25 </f>
        <v/>
      </c>
      <c r="AA25" s="4" t="s">
        <v>74</v>
      </c>
      <c r="AB25" s="4" t="n">
        <v>6525</v>
      </c>
      <c r="AC25" s="4">
        <f>GDelta(I25,AB25,G25,(L25+1)/245,N25,O25,K25)*J25 </f>
        <v/>
      </c>
      <c r="AD25" s="4">
        <f>GGamma(AB25,G25,(L25+1)/245,N25,O25,K25)*J25 </f>
        <v/>
      </c>
      <c r="AE25" s="4">
        <f>GVega(AB25,G25,(L25+1)/245,N25,O25,K25)/100*J25 </f>
        <v/>
      </c>
      <c r="AF25" s="4">
        <f>GTheta(I25,AB25,G25,(L25+1)/245,N25,O25,K25)/245*J25 </f>
        <v/>
      </c>
      <c r="AG25" s="4">
        <f>GRho(I25,AB25,G25,(L25+1)/245,N25,O25,K25)/100 </f>
        <v/>
      </c>
    </row>
    <row customHeight="1" ht="20" r="26" s="1" spans="1:33">
      <c r="A26" s="4" t="s">
        <v>8</v>
      </c>
      <c r="B26" s="5" t="s">
        <v>86</v>
      </c>
      <c r="C26" s="4" t="s">
        <v>24</v>
      </c>
      <c r="D26" s="4" t="s">
        <v>70</v>
      </c>
      <c r="E26" s="4" t="s">
        <v>81</v>
      </c>
      <c r="F26" s="4" t="n">
        <v>50</v>
      </c>
      <c r="G26" s="4" t="n">
        <v>51000</v>
      </c>
      <c r="H26" s="4" t="n">
        <v>49280</v>
      </c>
      <c r="I26" s="4" t="s">
        <v>79</v>
      </c>
      <c r="J26" s="6" t="n">
        <v>1</v>
      </c>
      <c r="K26" s="7" t="n">
        <v>0.152</v>
      </c>
      <c r="L26" s="4" t="n">
        <v>8</v>
      </c>
      <c r="M26" s="4" t="s">
        <v>73</v>
      </c>
      <c r="N26" s="7" t="n">
        <v>0.045</v>
      </c>
      <c r="O26" s="4" t="n">
        <v>0</v>
      </c>
      <c r="P26" s="4" t="n">
        <v>49350</v>
      </c>
      <c r="Q26" s="4">
        <f>GDelta(I26,P26,G26,L26/245,N26,O26,K26)*J26 </f>
        <v/>
      </c>
      <c r="R26" s="4">
        <f>GGamma(P26,G26,L26/245,N26,O26,K26)*J26 </f>
        <v/>
      </c>
      <c r="S26" s="4">
        <f>GVega(P26,G26,L26/245,N26,O26,K26)/100*J26 </f>
        <v/>
      </c>
      <c r="T26" s="4">
        <f>GTheta(I26,P26,G26,L26/245,N26,O26,K26)/245*J26 </f>
        <v/>
      </c>
      <c r="U26" s="4">
        <f>GRho(I26,P26,G26,L26/245,N26,O26,K26)/100 </f>
        <v/>
      </c>
      <c r="V26" s="4">
        <f> Q26 * F26 * P26</f>
        <v/>
      </c>
      <c r="W26" s="4">
        <f> R26 * F26 * P26 * P26/100</f>
        <v/>
      </c>
      <c r="X26" s="4">
        <f> S26 * F26 </f>
        <v/>
      </c>
      <c r="Y26" s="4">
        <f> T26 * F26 </f>
        <v/>
      </c>
      <c r="Z26" s="4">
        <f> U26 * F26 </f>
        <v/>
      </c>
      <c r="AA26" s="4" t="s">
        <v>74</v>
      </c>
      <c r="AB26" s="4" t="n">
        <v>49280</v>
      </c>
      <c r="AC26" s="4">
        <f>GDelta(I26,AB26,G26,(L26+1)/245,N26,O26,K26)*J26 </f>
        <v/>
      </c>
      <c r="AD26" s="4">
        <f>GGamma(AB26,G26,(L26+1)/245,N26,O26,K26)*J26 </f>
        <v/>
      </c>
      <c r="AE26" s="4">
        <f>GVega(AB26,G26,(L26+1)/245,N26,O26,K26)/100*J26 </f>
        <v/>
      </c>
      <c r="AF26" s="4">
        <f>GTheta(I26,AB26,G26,(L26+1)/245,N26,O26,K26)/245*J26 </f>
        <v/>
      </c>
      <c r="AG26" s="4">
        <f>GRho(I26,AB26,G26,(L26+1)/245,N26,O26,K26)/100 </f>
        <v/>
      </c>
    </row>
    <row customHeight="1" ht="20" r="27" s="1" spans="1:33">
      <c r="A27" s="4" t="s">
        <v>8</v>
      </c>
      <c r="B27" s="5" t="s">
        <v>86</v>
      </c>
      <c r="C27" s="4" t="s">
        <v>24</v>
      </c>
      <c r="D27" s="4" t="s">
        <v>70</v>
      </c>
      <c r="E27" s="4" t="s">
        <v>71</v>
      </c>
      <c r="F27" s="4" t="n">
        <v>50</v>
      </c>
      <c r="G27" s="4" t="n">
        <v>47060</v>
      </c>
      <c r="H27" s="4" t="n">
        <v>49280</v>
      </c>
      <c r="I27" s="4" t="s">
        <v>72</v>
      </c>
      <c r="J27" s="6" t="n">
        <v>1</v>
      </c>
      <c r="K27" s="7" t="n">
        <v>0.152</v>
      </c>
      <c r="L27" s="4" t="n">
        <v>8</v>
      </c>
      <c r="M27" s="4" t="s">
        <v>73</v>
      </c>
      <c r="N27" s="7" t="n">
        <v>0.045</v>
      </c>
      <c r="O27" s="4" t="n">
        <v>0</v>
      </c>
      <c r="P27" s="4" t="n">
        <v>49350</v>
      </c>
      <c r="Q27" s="4">
        <f>GDelta(I27,P27,G27,L27/245,N27,O27,K27)*J27 </f>
        <v/>
      </c>
      <c r="R27" s="4">
        <f>GGamma(P27,G27,L27/245,N27,O27,K27)*J27 </f>
        <v/>
      </c>
      <c r="S27" s="4">
        <f>GVega(P27,G27,L27/245,N27,O27,K27)/100*J27 </f>
        <v/>
      </c>
      <c r="T27" s="4">
        <f>GTheta(I27,P27,G27,L27/245,N27,O27,K27)/245*J27 </f>
        <v/>
      </c>
      <c r="U27" s="4">
        <f>GRho(I27,P27,G27,L27/245,N27,O27,K27)/100 </f>
        <v/>
      </c>
      <c r="V27" s="4">
        <f> Q27 * F27 * P27</f>
        <v/>
      </c>
      <c r="W27" s="4">
        <f> R27 * F27 * P27 * P27/100</f>
        <v/>
      </c>
      <c r="X27" s="4">
        <f> S27 * F27 </f>
        <v/>
      </c>
      <c r="Y27" s="4">
        <f> T27 * F27 </f>
        <v/>
      </c>
      <c r="Z27" s="4">
        <f> U27 * F27 </f>
        <v/>
      </c>
      <c r="AA27" s="4" t="s">
        <v>74</v>
      </c>
      <c r="AB27" s="4" t="n">
        <v>49280</v>
      </c>
      <c r="AC27" s="4">
        <f>GDelta(I27,AB27,G27,(L27+1)/245,N27,O27,K27)*J27 </f>
        <v/>
      </c>
      <c r="AD27" s="4">
        <f>GGamma(AB27,G27,(L27+1)/245,N27,O27,K27)*J27 </f>
        <v/>
      </c>
      <c r="AE27" s="4">
        <f>GVega(AB27,G27,(L27+1)/245,N27,O27,K27)/100*J27 </f>
        <v/>
      </c>
      <c r="AF27" s="4">
        <f>GTheta(I27,AB27,G27,(L27+1)/245,N27,O27,K27)/245*J27 </f>
        <v/>
      </c>
      <c r="AG27" s="4">
        <f>GRho(I27,AB27,G27,(L27+1)/245,N27,O27,K27)/100 </f>
        <v/>
      </c>
    </row>
    <row customHeight="1" ht="20" r="28" s="1" spans="1:33">
      <c r="A28" s="4" t="s">
        <v>10</v>
      </c>
      <c r="B28" s="12" t="s">
        <v>91</v>
      </c>
      <c r="C28" s="4" t="s">
        <v>38</v>
      </c>
      <c r="D28" s="4" t="s">
        <v>77</v>
      </c>
      <c r="E28" s="4" t="s">
        <v>71</v>
      </c>
      <c r="F28" s="4" t="n">
        <v>8120</v>
      </c>
      <c r="G28" s="4" t="n">
        <v>1591.77</v>
      </c>
      <c r="H28" s="4" t="n">
        <v>1641</v>
      </c>
      <c r="I28" s="4" t="s">
        <v>72</v>
      </c>
      <c r="J28" s="6" t="n">
        <v>-1</v>
      </c>
      <c r="K28" s="7" t="n">
        <v>0.25</v>
      </c>
      <c r="L28" s="4" t="n">
        <v>9</v>
      </c>
      <c r="M28" s="4" t="s">
        <v>73</v>
      </c>
      <c r="N28" s="7" t="n">
        <v>0.045</v>
      </c>
      <c r="O28" s="4" t="n">
        <v>0</v>
      </c>
      <c r="P28" s="4" t="n">
        <v>1625</v>
      </c>
      <c r="Q28" s="4">
        <f>GDelta(I28,P28,G28,L28/245,N28,O28,K28)*J28 </f>
        <v/>
      </c>
      <c r="R28" s="4">
        <f>GGamma(P28,G28,L28/245,N28,O28,K28)*J28 </f>
        <v/>
      </c>
      <c r="S28" s="4">
        <f>GVega(P28,G28,L28/245,N28,O28,K28)/100*J28 </f>
        <v/>
      </c>
      <c r="T28" s="4">
        <f>GTheta(I28,P28,G28,L28/245,N28,O28,K28)/245*J28 </f>
        <v/>
      </c>
      <c r="U28" s="4">
        <f>GRho(I28,P28,G28,L28/245,N28,O28,K28)/100 </f>
        <v/>
      </c>
      <c r="V28" s="4">
        <f> Q28 * F28 * P28</f>
        <v/>
      </c>
      <c r="W28" s="4">
        <f> R28 * F28 * P28 * P28/100</f>
        <v/>
      </c>
      <c r="X28" s="4">
        <f> S28 * F28 </f>
        <v/>
      </c>
      <c r="Y28" s="4">
        <f> T28 * F28 </f>
        <v/>
      </c>
      <c r="Z28" s="4">
        <f> U28 * F28 </f>
        <v/>
      </c>
      <c r="AA28" s="4" t="s">
        <v>74</v>
      </c>
      <c r="AB28" s="4" t="n">
        <v>1633</v>
      </c>
      <c r="AC28" s="4">
        <f>GDelta(I28,AB28,G28,(L28+1)/245,N28,O28,K28)*J28 </f>
        <v/>
      </c>
      <c r="AD28" s="4">
        <f>GGamma(AB28,G28,(L28+1)/245,N28,O28,K28)*J28 </f>
        <v/>
      </c>
      <c r="AE28" s="4">
        <f>GVega(AB28,G28,(L28+1)/245,N28,O28,K28)/100*J28 </f>
        <v/>
      </c>
      <c r="AF28" s="4">
        <f>GTheta(I28,AB28,G28,(L28+1)/245,N28,O28,K28)/245*J28 </f>
        <v/>
      </c>
      <c r="AG28" s="4">
        <f>GRho(I28,AB28,G28,(L28+1)/245,N28,O28,K28)/100 </f>
        <v/>
      </c>
    </row>
    <row customHeight="1" ht="20" r="29" s="1" spans="1:33">
      <c r="A29" s="4" t="s">
        <v>9</v>
      </c>
      <c r="B29" s="8" t="s">
        <v>92</v>
      </c>
      <c r="C29" s="4" t="s">
        <v>25</v>
      </c>
      <c r="D29" s="4" t="s">
        <v>77</v>
      </c>
      <c r="E29" s="4" t="s">
        <v>81</v>
      </c>
      <c r="F29" s="4" t="n">
        <v>1000</v>
      </c>
      <c r="G29" s="4" t="n">
        <v>5932</v>
      </c>
      <c r="H29" s="4" t="n">
        <v>5932</v>
      </c>
      <c r="I29" s="4" t="s">
        <v>79</v>
      </c>
      <c r="J29" s="6" t="n">
        <v>-1</v>
      </c>
      <c r="K29" s="7" t="n">
        <v>0.19</v>
      </c>
      <c r="L29" s="4" t="n">
        <v>70</v>
      </c>
      <c r="M29" s="4" t="s">
        <v>73</v>
      </c>
      <c r="N29" s="7" t="n">
        <v>0.045</v>
      </c>
      <c r="O29" s="4" t="n">
        <v>0</v>
      </c>
      <c r="P29" s="4" t="n">
        <v>6352</v>
      </c>
      <c r="Q29" s="4">
        <f>GDelta(I29,P29,G29,L29/245,N29,O29,K29)*J29 </f>
        <v/>
      </c>
      <c r="R29" s="4">
        <f>GGamma(P29,G29,L29/245,N29,O29,K29)*J29 </f>
        <v/>
      </c>
      <c r="S29" s="4">
        <f>GVega(P29,G29,L29/245,N29,O29,K29)/100*J29 </f>
        <v/>
      </c>
      <c r="T29" s="4">
        <f>GTheta(I29,P29,G29,L29/245,N29,O29,K29)/245*J29 </f>
        <v/>
      </c>
      <c r="U29" s="4">
        <f>GRho(I29,P29,G29,L29/245,N29,O29,K29)/100 </f>
        <v/>
      </c>
      <c r="V29" s="4">
        <f> Q29 * F29 * P29</f>
        <v/>
      </c>
      <c r="W29" s="4">
        <f> R29 * F29 * P29 * P29/100</f>
        <v/>
      </c>
      <c r="X29" s="4">
        <f> S29 * F29 </f>
        <v/>
      </c>
      <c r="Y29" s="4">
        <f> T29 * F29 </f>
        <v/>
      </c>
      <c r="Z29" s="4">
        <f> U29 * F29 </f>
        <v/>
      </c>
      <c r="AA29" s="4" t="s">
        <v>74</v>
      </c>
      <c r="AB29" s="4" t="n">
        <v>6362</v>
      </c>
      <c r="AC29" s="4">
        <f>GDelta(I29,AB29,G29,(L29+1)/245,N29,O29,K29)*J29 </f>
        <v/>
      </c>
      <c r="AD29" s="4">
        <f>GGamma(AB29,G29,(L29+1)/245,N29,O29,K29)*J29 </f>
        <v/>
      </c>
      <c r="AE29" s="4">
        <f>GVega(AB29,G29,(L29+1)/245,N29,O29,K29)/100*J29 </f>
        <v/>
      </c>
      <c r="AF29" s="4">
        <f>GTheta(I29,AB29,G29,(L29+1)/245,N29,O29,K29)/245*J29 </f>
        <v/>
      </c>
      <c r="AG29" s="4">
        <f>GRho(I29,AB29,G29,(L29+1)/245,N29,O29,K29)/100 </f>
        <v/>
      </c>
    </row>
    <row customHeight="1" ht="20" r="30" s="1" spans="1:33">
      <c r="A30" s="4" t="s">
        <v>9</v>
      </c>
      <c r="B30" s="8" t="s">
        <v>92</v>
      </c>
      <c r="C30" s="4" t="s">
        <v>25</v>
      </c>
      <c r="D30" s="4" t="s">
        <v>77</v>
      </c>
      <c r="E30" s="4" t="s">
        <v>71</v>
      </c>
      <c r="F30" s="4" t="n">
        <v>1000</v>
      </c>
      <c r="G30" s="4" t="n">
        <v>5932</v>
      </c>
      <c r="H30" s="4" t="n">
        <v>5932</v>
      </c>
      <c r="I30" s="4" t="s">
        <v>72</v>
      </c>
      <c r="J30" s="6" t="n">
        <v>-1</v>
      </c>
      <c r="K30" s="7" t="n">
        <v>0.19</v>
      </c>
      <c r="L30" s="4" t="n">
        <v>70</v>
      </c>
      <c r="M30" s="4" t="s">
        <v>73</v>
      </c>
      <c r="N30" s="7" t="n">
        <v>0.045</v>
      </c>
      <c r="O30" s="4" t="n">
        <v>0</v>
      </c>
      <c r="P30" s="4" t="n">
        <v>6352</v>
      </c>
      <c r="Q30" s="4">
        <f>GDelta(I30,P30,G30,L30/245,N30,O30,K30)*J30 </f>
        <v/>
      </c>
      <c r="R30" s="4">
        <f>GGamma(P30,G30,L30/245,N30,O30,K30)*J30 </f>
        <v/>
      </c>
      <c r="S30" s="4">
        <f>GVega(P30,G30,L30/245,N30,O30,K30)/100*J30 </f>
        <v/>
      </c>
      <c r="T30" s="4">
        <f>GTheta(I30,P30,G30,L30/245,N30,O30,K30)/245*J30 </f>
        <v/>
      </c>
      <c r="U30" s="4">
        <f>GRho(I30,P30,G30,L30/245,N30,O30,K30)/100 </f>
        <v/>
      </c>
      <c r="V30" s="4">
        <f> Q30 * F30 * P30</f>
        <v/>
      </c>
      <c r="W30" s="4">
        <f> R30 * F30 * P30 * P30/100</f>
        <v/>
      </c>
      <c r="X30" s="4">
        <f> S30 * F30 </f>
        <v/>
      </c>
      <c r="Y30" s="4">
        <f> T30 * F30 </f>
        <v/>
      </c>
      <c r="Z30" s="4">
        <f> U30 * F30 </f>
        <v/>
      </c>
      <c r="AA30" s="4" t="s">
        <v>74</v>
      </c>
      <c r="AB30" s="4" t="n">
        <v>6362</v>
      </c>
      <c r="AC30" s="4">
        <f>GDelta(I30,AB30,G30,(L30+1)/245,N30,O30,K30)*J30 </f>
        <v/>
      </c>
      <c r="AD30" s="4">
        <f>GGamma(AB30,G30,(L30+1)/245,N30,O30,K30)*J30 </f>
        <v/>
      </c>
      <c r="AE30" s="4">
        <f>GVega(AB30,G30,(L30+1)/245,N30,O30,K30)/100*J30 </f>
        <v/>
      </c>
      <c r="AF30" s="4">
        <f>GTheta(I30,AB30,G30,(L30+1)/245,N30,O30,K30)/245*J30 </f>
        <v/>
      </c>
      <c r="AG30" s="4">
        <f>GRho(I30,AB30,G30,(L30+1)/245,N30,O30,K30)/100 </f>
        <v/>
      </c>
    </row>
    <row customHeight="1" ht="20" r="31" s="1" spans="1:33">
      <c r="A31" s="4" t="s">
        <v>8</v>
      </c>
      <c r="B31" s="5" t="s">
        <v>93</v>
      </c>
      <c r="C31" s="4" t="s">
        <v>25</v>
      </c>
      <c r="D31" s="4" t="s">
        <v>77</v>
      </c>
      <c r="E31" s="4" t="s">
        <v>81</v>
      </c>
      <c r="F31" s="4" t="n">
        <v>1200</v>
      </c>
      <c r="G31" s="4" t="n">
        <v>6444</v>
      </c>
      <c r="H31" s="4" t="n">
        <v>6060</v>
      </c>
      <c r="I31" s="4" t="s">
        <v>79</v>
      </c>
      <c r="J31" s="6" t="n">
        <v>-1</v>
      </c>
      <c r="K31" s="7" t="n">
        <v>0.2378</v>
      </c>
      <c r="L31" s="4" t="n">
        <v>12</v>
      </c>
      <c r="M31" s="4" t="s">
        <v>73</v>
      </c>
      <c r="N31" s="7" t="n">
        <v>0.045</v>
      </c>
      <c r="O31" s="4" t="n">
        <v>0</v>
      </c>
      <c r="P31" s="4" t="n">
        <v>6352</v>
      </c>
      <c r="Q31" s="4">
        <f>GDelta(I31,P31,G31,L31/245,N31,O31,K31)*J31 </f>
        <v/>
      </c>
      <c r="R31" s="4">
        <f>GGamma(P31,G31,L31/245,N31,O31,K31)*J31 </f>
        <v/>
      </c>
      <c r="S31" s="4">
        <f>GVega(P31,G31,L31/245,N31,O31,K31)/100*J31 </f>
        <v/>
      </c>
      <c r="T31" s="4">
        <f>GTheta(I31,P31,G31,L31/245,N31,O31,K31)/245*J31 </f>
        <v/>
      </c>
      <c r="U31" s="4">
        <f>GRho(I31,P31,G31,L31/245,N31,O31,K31)/100 </f>
        <v/>
      </c>
      <c r="V31" s="4">
        <f> Q31 * F31 * P31</f>
        <v/>
      </c>
      <c r="W31" s="4">
        <f> R31 * F31 * P31 * P31/100</f>
        <v/>
      </c>
      <c r="X31" s="4">
        <f> S31 * F31 </f>
        <v/>
      </c>
      <c r="Y31" s="4">
        <f> T31 * F31 </f>
        <v/>
      </c>
      <c r="Z31" s="4">
        <f> U31 * F31 </f>
        <v/>
      </c>
      <c r="AA31" s="4" t="s">
        <v>74</v>
      </c>
      <c r="AB31" s="4" t="n">
        <v>6362</v>
      </c>
      <c r="AC31" s="4">
        <f>GDelta(I31,AB31,G31,(L31+1)/245,N31,O31,K31)*J31 </f>
        <v/>
      </c>
      <c r="AD31" s="4">
        <f>GGamma(AB31,G31,(L31+1)/245,N31,O31,K31)*J31 </f>
        <v/>
      </c>
      <c r="AE31" s="4">
        <f>GVega(AB31,G31,(L31+1)/245,N31,O31,K31)/100*J31 </f>
        <v/>
      </c>
      <c r="AF31" s="4">
        <f>GTheta(I31,AB31,G31,(L31+1)/245,N31,O31,K31)/245*J31 </f>
        <v/>
      </c>
      <c r="AG31" s="4">
        <f>GRho(I31,AB31,G31,(L31+1)/245,N31,O31,K31)/100 </f>
        <v/>
      </c>
    </row>
    <row customHeight="1" ht="20" r="32" s="1" spans="1:33">
      <c r="A32" s="4" t="s">
        <v>9</v>
      </c>
      <c r="B32" s="8" t="s">
        <v>75</v>
      </c>
      <c r="C32" s="4" t="s">
        <v>36</v>
      </c>
      <c r="D32" s="4" t="s">
        <v>70</v>
      </c>
      <c r="E32" s="4" t="s">
        <v>81</v>
      </c>
      <c r="F32" s="4" t="n">
        <v>2200</v>
      </c>
      <c r="G32" s="4" t="n">
        <v>4700</v>
      </c>
      <c r="H32" s="4" t="n">
        <v>4590</v>
      </c>
      <c r="I32" s="4" t="s">
        <v>79</v>
      </c>
      <c r="J32" s="6" t="n">
        <v>1</v>
      </c>
      <c r="K32" s="7" t="n">
        <v>0.1058</v>
      </c>
      <c r="L32" s="4" t="n">
        <v>12</v>
      </c>
      <c r="M32" s="4" t="s">
        <v>73</v>
      </c>
      <c r="N32" s="7" t="n">
        <v>0.045</v>
      </c>
      <c r="O32" s="4" t="n">
        <v>0</v>
      </c>
      <c r="P32" s="4" t="n">
        <v>4610</v>
      </c>
      <c r="Q32" s="4">
        <f>GDelta(I32,P32,G32,L32/245,N32,O32,K32)*J32 </f>
        <v/>
      </c>
      <c r="R32" s="4">
        <f>GGamma(P32,G32,L32/245,N32,O32,K32)*J32 </f>
        <v/>
      </c>
      <c r="S32" s="4">
        <f>GVega(P32,G32,L32/245,N32,O32,K32)/100*J32 </f>
        <v/>
      </c>
      <c r="T32" s="4">
        <f>GTheta(I32,P32,G32,L32/245,N32,O32,K32)/245*J32 </f>
        <v/>
      </c>
      <c r="U32" s="4">
        <f>GRho(I32,P32,G32,L32/245,N32,O32,K32)/100 </f>
        <v/>
      </c>
      <c r="V32" s="4">
        <f> Q32 * F32 * P32</f>
        <v/>
      </c>
      <c r="W32" s="4">
        <f> R32 * F32 * P32 * P32/100</f>
        <v/>
      </c>
      <c r="X32" s="4">
        <f> S32 * F32 </f>
        <v/>
      </c>
      <c r="Y32" s="4">
        <f> T32 * F32 </f>
        <v/>
      </c>
      <c r="Z32" s="4">
        <f> U32 * F32 </f>
        <v/>
      </c>
      <c r="AA32" s="4" t="s">
        <v>74</v>
      </c>
      <c r="AB32" s="4" t="n">
        <v>4604</v>
      </c>
      <c r="AC32" s="4">
        <f>GDelta(I32,AB32,G32,(L32+1)/245,N32,O32,K32)*J32 </f>
        <v/>
      </c>
      <c r="AD32" s="4">
        <f>GGamma(AB32,G32,(L32+1)/245,N32,O32,K32)*J32 </f>
        <v/>
      </c>
      <c r="AE32" s="4">
        <f>GVega(AB32,G32,(L32+1)/245,N32,O32,K32)/100*J32 </f>
        <v/>
      </c>
      <c r="AF32" s="4">
        <f>GTheta(I32,AB32,G32,(L32+1)/245,N32,O32,K32)/245*J32 </f>
        <v/>
      </c>
      <c r="AG32" s="4">
        <f>GRho(I32,AB32,G32,(L32+1)/245,N32,O32,K32)/100 </f>
        <v/>
      </c>
    </row>
    <row customHeight="1" ht="20" r="33" s="1" spans="1:33">
      <c r="A33" s="4" t="s">
        <v>8</v>
      </c>
      <c r="B33" s="5" t="s">
        <v>86</v>
      </c>
      <c r="C33" s="4" t="s">
        <v>24</v>
      </c>
      <c r="D33" s="4" t="s">
        <v>70</v>
      </c>
      <c r="E33" s="4" t="s">
        <v>81</v>
      </c>
      <c r="F33" s="4" t="n">
        <v>50</v>
      </c>
      <c r="G33" s="4" t="n">
        <v>51220</v>
      </c>
      <c r="H33" s="4" t="n">
        <v>49250</v>
      </c>
      <c r="I33" s="4" t="s">
        <v>79</v>
      </c>
      <c r="J33" s="6" t="n">
        <v>1</v>
      </c>
      <c r="K33" s="7" t="n">
        <v>0.152</v>
      </c>
      <c r="L33" s="4" t="n">
        <v>13</v>
      </c>
      <c r="M33" s="4" t="s">
        <v>73</v>
      </c>
      <c r="N33" s="7" t="n">
        <v>0.045</v>
      </c>
      <c r="O33" s="4" t="n">
        <v>0</v>
      </c>
      <c r="P33" s="4" t="n">
        <v>49350</v>
      </c>
      <c r="Q33" s="4">
        <f>GDelta(I33,P33,G33,L33/245,N33,O33,K33)*J33 </f>
        <v/>
      </c>
      <c r="R33" s="4">
        <f>GGamma(P33,G33,L33/245,N33,O33,K33)*J33 </f>
        <v/>
      </c>
      <c r="S33" s="4">
        <f>GVega(P33,G33,L33/245,N33,O33,K33)/100*J33 </f>
        <v/>
      </c>
      <c r="T33" s="4">
        <f>GTheta(I33,P33,G33,L33/245,N33,O33,K33)/245*J33 </f>
        <v/>
      </c>
      <c r="U33" s="4">
        <f>GRho(I33,P33,G33,L33/245,N33,O33,K33)/100 </f>
        <v/>
      </c>
      <c r="V33" s="4">
        <f> Q33 * F33 * P33</f>
        <v/>
      </c>
      <c r="W33" s="4">
        <f> R33 * F33 * P33 * P33/100</f>
        <v/>
      </c>
      <c r="X33" s="4">
        <f> S33 * F33 </f>
        <v/>
      </c>
      <c r="Y33" s="4">
        <f> T33 * F33 </f>
        <v/>
      </c>
      <c r="Z33" s="4">
        <f> U33 * F33 </f>
        <v/>
      </c>
      <c r="AA33" s="4" t="s">
        <v>74</v>
      </c>
      <c r="AB33" s="4" t="n">
        <v>49280</v>
      </c>
      <c r="AC33" s="4">
        <f>GDelta(I33,AB33,G33,(L33+1)/245,N33,O33,K33)*J33 </f>
        <v/>
      </c>
      <c r="AD33" s="4">
        <f>GGamma(AB33,G33,(L33+1)/245,N33,O33,K33)*J33 </f>
        <v/>
      </c>
      <c r="AE33" s="4">
        <f>GVega(AB33,G33,(L33+1)/245,N33,O33,K33)/100*J33 </f>
        <v/>
      </c>
      <c r="AF33" s="4">
        <f>GTheta(I33,AB33,G33,(L33+1)/245,N33,O33,K33)/245*J33 </f>
        <v/>
      </c>
      <c r="AG33" s="4">
        <f>GRho(I33,AB33,G33,(L33+1)/245,N33,O33,K33)/100 </f>
        <v/>
      </c>
    </row>
    <row customHeight="1" ht="20" r="34" s="1" spans="1:33">
      <c r="A34" s="4" t="s">
        <v>8</v>
      </c>
      <c r="B34" s="5" t="s">
        <v>86</v>
      </c>
      <c r="C34" s="4" t="s">
        <v>24</v>
      </c>
      <c r="D34" s="4" t="s">
        <v>70</v>
      </c>
      <c r="E34" s="4" t="s">
        <v>71</v>
      </c>
      <c r="F34" s="4" t="n">
        <v>50</v>
      </c>
      <c r="G34" s="4" t="n">
        <v>47280</v>
      </c>
      <c r="H34" s="4" t="n">
        <v>49250</v>
      </c>
      <c r="I34" s="4" t="s">
        <v>72</v>
      </c>
      <c r="J34" s="6" t="n">
        <v>1</v>
      </c>
      <c r="K34" s="7" t="n">
        <v>0.152</v>
      </c>
      <c r="L34" s="4" t="n">
        <v>13</v>
      </c>
      <c r="M34" s="4" t="s">
        <v>73</v>
      </c>
      <c r="N34" s="7" t="n">
        <v>0.045</v>
      </c>
      <c r="O34" s="4" t="n">
        <v>0</v>
      </c>
      <c r="P34" s="4" t="n">
        <v>49350</v>
      </c>
      <c r="Q34" s="4">
        <f>GDelta(I34,P34,G34,L34/245,N34,O34,K34)*J34 </f>
        <v/>
      </c>
      <c r="R34" s="4">
        <f>GGamma(P34,G34,L34/245,N34,O34,K34)*J34 </f>
        <v/>
      </c>
      <c r="S34" s="4">
        <f>GVega(P34,G34,L34/245,N34,O34,K34)/100*J34 </f>
        <v/>
      </c>
      <c r="T34" s="4">
        <f>GTheta(I34,P34,G34,L34/245,N34,O34,K34)/245*J34 </f>
        <v/>
      </c>
      <c r="U34" s="4">
        <f>GRho(I34,P34,G34,L34/245,N34,O34,K34)/100 </f>
        <v/>
      </c>
      <c r="V34" s="4">
        <f> Q34 * F34 * P34</f>
        <v/>
      </c>
      <c r="W34" s="4">
        <f> R34 * F34 * P34 * P34/100</f>
        <v/>
      </c>
      <c r="X34" s="4">
        <f> S34 * F34 </f>
        <v/>
      </c>
      <c r="Y34" s="4">
        <f> T34 * F34 </f>
        <v/>
      </c>
      <c r="Z34" s="4">
        <f> U34 * F34 </f>
        <v/>
      </c>
      <c r="AA34" s="4" t="s">
        <v>74</v>
      </c>
      <c r="AB34" s="4" t="n">
        <v>49280</v>
      </c>
      <c r="AC34" s="4">
        <f>GDelta(I34,AB34,G34,(L34+1)/245,N34,O34,K34)*J34 </f>
        <v/>
      </c>
      <c r="AD34" s="4">
        <f>GGamma(AB34,G34,(L34+1)/245,N34,O34,K34)*J34 </f>
        <v/>
      </c>
      <c r="AE34" s="4">
        <f>GVega(AB34,G34,(L34+1)/245,N34,O34,K34)/100*J34 </f>
        <v/>
      </c>
      <c r="AF34" s="4">
        <f>GTheta(I34,AB34,G34,(L34+1)/245,N34,O34,K34)/245*J34 </f>
        <v/>
      </c>
      <c r="AG34" s="4">
        <f>GRho(I34,AB34,G34,(L34+1)/245,N34,O34,K34)/100 </f>
        <v/>
      </c>
    </row>
    <row customHeight="1" ht="20" r="35" s="1" spans="1:33">
      <c r="A35" s="4" t="s">
        <v>9</v>
      </c>
      <c r="B35" s="8" t="s">
        <v>92</v>
      </c>
      <c r="C35" s="4" t="s">
        <v>35</v>
      </c>
      <c r="D35" s="4" t="s">
        <v>77</v>
      </c>
      <c r="E35" s="4" t="s">
        <v>81</v>
      </c>
      <c r="F35" s="4" t="n">
        <v>700</v>
      </c>
      <c r="G35" s="4" t="n">
        <v>6515</v>
      </c>
      <c r="H35" s="4" t="n">
        <v>6515</v>
      </c>
      <c r="I35" s="4" t="s">
        <v>79</v>
      </c>
      <c r="J35" s="6" t="n">
        <v>-1</v>
      </c>
      <c r="K35" s="7" t="n">
        <v>0.113</v>
      </c>
      <c r="L35" s="4" t="n">
        <v>73</v>
      </c>
      <c r="M35" s="4" t="s">
        <v>73</v>
      </c>
      <c r="N35" s="7" t="n">
        <v>0.045</v>
      </c>
      <c r="O35" s="4" t="n">
        <v>0</v>
      </c>
      <c r="P35" s="4" t="n">
        <v>6500</v>
      </c>
      <c r="Q35" s="4">
        <f>GDelta(I35,P35,G35,L35/245,N35,O35,K35)*J35 </f>
        <v/>
      </c>
      <c r="R35" s="4">
        <f>GGamma(P35,G35,L35/245,N35,O35,K35)*J35 </f>
        <v/>
      </c>
      <c r="S35" s="4">
        <f>GVega(P35,G35,L35/245,N35,O35,K35)/100*J35 </f>
        <v/>
      </c>
      <c r="T35" s="4">
        <f>GTheta(I35,P35,G35,L35/245,N35,O35,K35)/245*J35 </f>
        <v/>
      </c>
      <c r="U35" s="4">
        <f>GRho(I35,P35,G35,L35/245,N35,O35,K35)/100 </f>
        <v/>
      </c>
      <c r="V35" s="4">
        <f> Q35 * F35 * P35</f>
        <v/>
      </c>
      <c r="W35" s="4">
        <f> R35 * F35 * P35 * P35/100</f>
        <v/>
      </c>
      <c r="X35" s="4">
        <f> S35 * F35 </f>
        <v/>
      </c>
      <c r="Y35" s="4">
        <f> T35 * F35 </f>
        <v/>
      </c>
      <c r="Z35" s="4">
        <f> U35 * F35 </f>
        <v/>
      </c>
      <c r="AA35" s="4" t="s">
        <v>74</v>
      </c>
      <c r="AB35" s="4" t="n">
        <v>6525</v>
      </c>
      <c r="AC35" s="4">
        <f>GDelta(I35,AB35,G35,(L35+1)/245,N35,O35,K35)*J35 </f>
        <v/>
      </c>
      <c r="AD35" s="4">
        <f>GGamma(AB35,G35,(L35+1)/245,N35,O35,K35)*J35 </f>
        <v/>
      </c>
      <c r="AE35" s="4">
        <f>GVega(AB35,G35,(L35+1)/245,N35,O35,K35)/100*J35 </f>
        <v/>
      </c>
      <c r="AF35" s="4">
        <f>GTheta(I35,AB35,G35,(L35+1)/245,N35,O35,K35)/245*J35 </f>
        <v/>
      </c>
      <c r="AG35" s="4">
        <f>GRho(I35,AB35,G35,(L35+1)/245,N35,O35,K35)/100 </f>
        <v/>
      </c>
    </row>
    <row customHeight="1" ht="20" r="36" s="1" spans="1:33">
      <c r="A36" s="4" t="s">
        <v>9</v>
      </c>
      <c r="B36" s="8" t="s">
        <v>92</v>
      </c>
      <c r="C36" s="4" t="s">
        <v>35</v>
      </c>
      <c r="D36" s="4" t="s">
        <v>77</v>
      </c>
      <c r="E36" s="4" t="s">
        <v>71</v>
      </c>
      <c r="F36" s="4" t="n">
        <v>700</v>
      </c>
      <c r="G36" s="4" t="n">
        <v>6515</v>
      </c>
      <c r="H36" s="4" t="n">
        <v>6515</v>
      </c>
      <c r="I36" s="4" t="s">
        <v>72</v>
      </c>
      <c r="J36" s="6" t="n">
        <v>-1</v>
      </c>
      <c r="K36" s="7" t="n">
        <v>0.113</v>
      </c>
      <c r="L36" s="4" t="n">
        <v>73</v>
      </c>
      <c r="M36" s="4" t="s">
        <v>73</v>
      </c>
      <c r="N36" s="7" t="n">
        <v>0.045</v>
      </c>
      <c r="O36" s="4" t="n">
        <v>0</v>
      </c>
      <c r="P36" s="4" t="n">
        <v>6500</v>
      </c>
      <c r="Q36" s="4">
        <f>GDelta(I36,P36,G36,L36/245,N36,O36,K36)*J36 </f>
        <v/>
      </c>
      <c r="R36" s="4">
        <f>GGamma(P36,G36,L36/245,N36,O36,K36)*J36 </f>
        <v/>
      </c>
      <c r="S36" s="4">
        <f>GVega(P36,G36,L36/245,N36,O36,K36)/100*J36 </f>
        <v/>
      </c>
      <c r="T36" s="4">
        <f>GTheta(I36,P36,G36,L36/245,N36,O36,K36)/245*J36 </f>
        <v/>
      </c>
      <c r="U36" s="4">
        <f>GRho(I36,P36,G36,L36/245,N36,O36,K36)/100 </f>
        <v/>
      </c>
      <c r="V36" s="4">
        <f> Q36 * F36 * P36</f>
        <v/>
      </c>
      <c r="W36" s="4">
        <f> R36 * F36 * P36 * P36/100</f>
        <v/>
      </c>
      <c r="X36" s="4">
        <f> S36 * F36 </f>
        <v/>
      </c>
      <c r="Y36" s="4">
        <f> T36 * F36 </f>
        <v/>
      </c>
      <c r="Z36" s="4">
        <f> U36 * F36 </f>
        <v/>
      </c>
      <c r="AA36" s="4" t="s">
        <v>74</v>
      </c>
      <c r="AB36" s="4" t="n">
        <v>6525</v>
      </c>
      <c r="AC36" s="4">
        <f>GDelta(I36,AB36,G36,(L36+1)/245,N36,O36,K36)*J36 </f>
        <v/>
      </c>
      <c r="AD36" s="4">
        <f>GGamma(AB36,G36,(L36+1)/245,N36,O36,K36)*J36 </f>
        <v/>
      </c>
      <c r="AE36" s="4">
        <f>GVega(AB36,G36,(L36+1)/245,N36,O36,K36)/100*J36 </f>
        <v/>
      </c>
      <c r="AF36" s="4">
        <f>GTheta(I36,AB36,G36,(L36+1)/245,N36,O36,K36)/245*J36 </f>
        <v/>
      </c>
      <c r="AG36" s="4">
        <f>GRho(I36,AB36,G36,(L36+1)/245,N36,O36,K36)/100 </f>
        <v/>
      </c>
    </row>
    <row customHeight="1" ht="20" r="37" s="1" spans="1:33">
      <c r="A37" s="4" t="s">
        <v>11</v>
      </c>
      <c r="B37" s="4" t="s">
        <v>94</v>
      </c>
      <c r="C37" s="4" t="s">
        <v>22</v>
      </c>
      <c r="D37" s="4" t="s">
        <v>70</v>
      </c>
      <c r="E37" s="4" t="s">
        <v>78</v>
      </c>
      <c r="F37" s="4" t="n">
        <v>100000</v>
      </c>
      <c r="G37" s="4" t="n">
        <v>2145</v>
      </c>
      <c r="H37" s="4" t="n">
        <v>1900</v>
      </c>
      <c r="I37" s="4" t="s">
        <v>79</v>
      </c>
      <c r="J37" s="6" t="n">
        <v>1</v>
      </c>
      <c r="K37" s="7" t="n">
        <v>0.15</v>
      </c>
      <c r="L37" s="4" t="n">
        <v>32</v>
      </c>
      <c r="M37" s="4" t="s">
        <v>73</v>
      </c>
      <c r="N37" s="7" t="n">
        <v>0.045</v>
      </c>
      <c r="O37" s="4" t="n">
        <v>0</v>
      </c>
      <c r="P37" s="4" t="n">
        <v>1918</v>
      </c>
      <c r="Q37" s="4">
        <f>GDelta(I37,P37,G37,L37/245,N37,O37,K37)*J37 </f>
        <v/>
      </c>
      <c r="R37" s="4">
        <f>GGamma(P37,G37,L37/245,N37,O37,K37)*J37 </f>
        <v/>
      </c>
      <c r="S37" s="4">
        <f>GVega(P37,G37,L37/245,N37,O37,K37)/100*J37 </f>
        <v/>
      </c>
      <c r="T37" s="4">
        <f>GTheta(I37,P37,G37,L37/245,N37,O37,K37)/245*J37 </f>
        <v/>
      </c>
      <c r="U37" s="4">
        <f>GRho(I37,P37,G37,L37/245,N37,O37,K37)/100 </f>
        <v/>
      </c>
      <c r="V37" s="4">
        <f> Q37 * F37 * P37</f>
        <v/>
      </c>
      <c r="W37" s="4">
        <f> R37 * F37 * P37 * P37/100</f>
        <v/>
      </c>
      <c r="X37" s="4">
        <f> S37 * F37 </f>
        <v/>
      </c>
      <c r="Y37" s="4">
        <f> T37 * F37 </f>
        <v/>
      </c>
      <c r="Z37" s="4">
        <f> U37 * F37 </f>
        <v/>
      </c>
      <c r="AA37" s="4" t="s">
        <v>74</v>
      </c>
      <c r="AB37" s="4" t="n">
        <v>1910</v>
      </c>
      <c r="AC37" s="4">
        <f>GDelta(I37,AB37,G37,(L37+1)/245,N37,O37,K37)*J37 </f>
        <v/>
      </c>
      <c r="AD37" s="4">
        <f>GGamma(AB37,G37,(L37+1)/245,N37,O37,K37)*J37 </f>
        <v/>
      </c>
      <c r="AE37" s="4">
        <f>GVega(AB37,G37,(L37+1)/245,N37,O37,K37)/100*J37 </f>
        <v/>
      </c>
      <c r="AF37" s="4">
        <f>GTheta(I37,AB37,G37,(L37+1)/245,N37,O37,K37)/245*J37 </f>
        <v/>
      </c>
      <c r="AG37" s="4">
        <f>GRho(I37,AB37,G37,(L37+1)/245,N37,O37,K37)/100 </f>
        <v/>
      </c>
    </row>
    <row customHeight="1" ht="20" r="38" s="1" spans="1:33">
      <c r="A38" s="4" t="s">
        <v>9</v>
      </c>
      <c r="B38" s="8" t="s">
        <v>69</v>
      </c>
      <c r="C38" s="4" t="s">
        <v>31</v>
      </c>
      <c r="D38" s="4" t="s">
        <v>70</v>
      </c>
      <c r="E38" s="4" t="s">
        <v>81</v>
      </c>
      <c r="F38" s="4" t="n">
        <v>500</v>
      </c>
      <c r="G38" s="4" t="n">
        <v>12820</v>
      </c>
      <c r="H38" s="4" t="n">
        <v>12820</v>
      </c>
      <c r="I38" s="4" t="s">
        <v>79</v>
      </c>
      <c r="J38" s="6" t="n">
        <v>1</v>
      </c>
      <c r="K38" s="7" t="n">
        <v>0.16</v>
      </c>
      <c r="L38" s="4" t="n">
        <v>5</v>
      </c>
      <c r="M38" s="4" t="s">
        <v>73</v>
      </c>
      <c r="N38" s="7" t="n">
        <v>0.045</v>
      </c>
      <c r="O38" s="4" t="n">
        <v>0</v>
      </c>
      <c r="P38" s="4" t="n">
        <v>12805</v>
      </c>
      <c r="Q38" s="4">
        <f>GDelta(I38,P38,G38,L38/245,N38,O38,K38)*J38 </f>
        <v/>
      </c>
      <c r="R38" s="4">
        <f>GGamma(P38,G38,L38/245,N38,O38,K38)*J38 </f>
        <v/>
      </c>
      <c r="S38" s="4">
        <f>GVega(P38,G38,L38/245,N38,O38,K38)/100*J38 </f>
        <v/>
      </c>
      <c r="T38" s="4">
        <f>GTheta(I38,P38,G38,L38/245,N38,O38,K38)/245*J38 </f>
        <v/>
      </c>
      <c r="U38" s="4">
        <f>GRho(I38,P38,G38,L38/245,N38,O38,K38)/100 </f>
        <v/>
      </c>
      <c r="V38" s="4">
        <f> Q38 * F38 * P38</f>
        <v/>
      </c>
      <c r="W38" s="4">
        <f> R38 * F38 * P38 * P38/100</f>
        <v/>
      </c>
      <c r="X38" s="4">
        <f> S38 * F38 </f>
        <v/>
      </c>
      <c r="Y38" s="4">
        <f> T38 * F38 </f>
        <v/>
      </c>
      <c r="Z38" s="4">
        <f> U38 * F38 </f>
        <v/>
      </c>
      <c r="AA38" s="4" t="s">
        <v>74</v>
      </c>
      <c r="AB38" s="4" t="n">
        <v>12960</v>
      </c>
      <c r="AC38" s="4">
        <f>GDelta(I38,AB38,G38,(L38+1)/245,N38,O38,K38)*J38 </f>
        <v/>
      </c>
      <c r="AD38" s="4">
        <f>GGamma(AB38,G38,(L38+1)/245,N38,O38,K38)*J38 </f>
        <v/>
      </c>
      <c r="AE38" s="4">
        <f>GVega(AB38,G38,(L38+1)/245,N38,O38,K38)/100*J38 </f>
        <v/>
      </c>
      <c r="AF38" s="4">
        <f>GTheta(I38,AB38,G38,(L38+1)/245,N38,O38,K38)/245*J38 </f>
        <v/>
      </c>
      <c r="AG38" s="4">
        <f>GRho(I38,AB38,G38,(L38+1)/245,N38,O38,K38)/100 </f>
        <v/>
      </c>
    </row>
    <row customHeight="1" ht="20" r="39" s="1" spans="1:33">
      <c r="A39" s="4" t="s">
        <v>9</v>
      </c>
      <c r="B39" s="8" t="s">
        <v>69</v>
      </c>
      <c r="C39" s="4" t="s">
        <v>31</v>
      </c>
      <c r="D39" s="4" t="s">
        <v>70</v>
      </c>
      <c r="E39" s="4" t="s">
        <v>71</v>
      </c>
      <c r="F39" s="4" t="n">
        <v>500</v>
      </c>
      <c r="G39" s="4" t="n">
        <v>12820</v>
      </c>
      <c r="H39" s="4" t="n">
        <v>12820</v>
      </c>
      <c r="I39" s="4" t="s">
        <v>72</v>
      </c>
      <c r="J39" s="6" t="n">
        <v>1</v>
      </c>
      <c r="K39" s="7" t="n">
        <v>0.16</v>
      </c>
      <c r="L39" s="4" t="n">
        <v>5</v>
      </c>
      <c r="M39" s="4" t="s">
        <v>73</v>
      </c>
      <c r="N39" s="7" t="n">
        <v>0.045</v>
      </c>
      <c r="O39" s="4" t="n">
        <v>0</v>
      </c>
      <c r="P39" s="4" t="n">
        <v>12805</v>
      </c>
      <c r="Q39" s="4">
        <f>GDelta(I39,P39,G39,L39/245,N39,O39,K39)*J39 </f>
        <v/>
      </c>
      <c r="R39" s="4">
        <f>GGamma(P39,G39,L39/245,N39,O39,K39)*J39 </f>
        <v/>
      </c>
      <c r="S39" s="4">
        <f>GVega(P39,G39,L39/245,N39,O39,K39)/100*J39 </f>
        <v/>
      </c>
      <c r="T39" s="4">
        <f>GTheta(I39,P39,G39,L39/245,N39,O39,K39)/245*J39 </f>
        <v/>
      </c>
      <c r="U39" s="4">
        <f>GRho(I39,P39,G39,L39/245,N39,O39,K39)/100 </f>
        <v/>
      </c>
      <c r="V39" s="4">
        <f> Q39 * F39 * P39</f>
        <v/>
      </c>
      <c r="W39" s="4">
        <f> R39 * F39 * P39 * P39/100</f>
        <v/>
      </c>
      <c r="X39" s="4">
        <f> S39 * F39 </f>
        <v/>
      </c>
      <c r="Y39" s="4">
        <f> T39 * F39 </f>
        <v/>
      </c>
      <c r="Z39" s="4">
        <f> U39 * F39 </f>
        <v/>
      </c>
      <c r="AA39" s="4" t="s">
        <v>74</v>
      </c>
      <c r="AB39" s="4" t="n">
        <v>12960</v>
      </c>
      <c r="AC39" s="4">
        <f>GDelta(I39,AB39,G39,(L39+1)/245,N39,O39,K39)*J39 </f>
        <v/>
      </c>
      <c r="AD39" s="4">
        <f>GGamma(AB39,G39,(L39+1)/245,N39,O39,K39)*J39 </f>
        <v/>
      </c>
      <c r="AE39" s="4">
        <f>GVega(AB39,G39,(L39+1)/245,N39,O39,K39)/100*J39 </f>
        <v/>
      </c>
      <c r="AF39" s="4">
        <f>GTheta(I39,AB39,G39,(L39+1)/245,N39,O39,K39)/245*J39 </f>
        <v/>
      </c>
      <c r="AG39" s="4">
        <f>GRho(I39,AB39,G39,(L39+1)/245,N39,O39,K39)/100 </f>
        <v/>
      </c>
    </row>
    <row customHeight="1" ht="20" r="40" s="1" spans="1:33">
      <c r="A40" s="4" t="s">
        <v>8</v>
      </c>
      <c r="B40" s="5" t="s">
        <v>95</v>
      </c>
      <c r="C40" s="4" t="s">
        <v>26</v>
      </c>
      <c r="D40" s="4" t="s">
        <v>77</v>
      </c>
      <c r="E40" s="4" t="s">
        <v>78</v>
      </c>
      <c r="F40" s="4" t="n">
        <v>1300</v>
      </c>
      <c r="G40" s="4" t="n">
        <v>1845</v>
      </c>
      <c r="H40" s="4" t="n">
        <v>1845</v>
      </c>
      <c r="I40" s="4" t="s">
        <v>79</v>
      </c>
      <c r="J40" s="6" t="n">
        <v>-1</v>
      </c>
      <c r="K40" s="7" t="n">
        <v>0.23</v>
      </c>
      <c r="L40" s="4" t="n">
        <v>14</v>
      </c>
      <c r="M40" s="4" t="s">
        <v>73</v>
      </c>
      <c r="N40" s="7" t="n">
        <v>0.045</v>
      </c>
      <c r="O40" s="4" t="n">
        <v>0</v>
      </c>
      <c r="P40" s="4" t="n">
        <v>1868</v>
      </c>
      <c r="Q40" s="4">
        <f>GDelta(I40,P40,G40,L40/245,N40,O40,K40)*J40 </f>
        <v/>
      </c>
      <c r="R40" s="4">
        <f>GGamma(P40,G40,L40/245,N40,O40,K40)*J40 </f>
        <v/>
      </c>
      <c r="S40" s="4">
        <f>GVega(P40,G40,L40/245,N40,O40,K40)/100*J40 </f>
        <v/>
      </c>
      <c r="T40" s="4">
        <f>GTheta(I40,P40,G40,L40/245,N40,O40,K40)/245*J40 </f>
        <v/>
      </c>
      <c r="U40" s="4">
        <f>GRho(I40,P40,G40,L40/245,N40,O40,K40)/100 </f>
        <v/>
      </c>
      <c r="V40" s="4">
        <f> Q40 * F40 * P40</f>
        <v/>
      </c>
      <c r="W40" s="4">
        <f> R40 * F40 * P40 * P40/100</f>
        <v/>
      </c>
      <c r="X40" s="4">
        <f> S40 * F40 </f>
        <v/>
      </c>
      <c r="Y40" s="4">
        <f> T40 * F40 </f>
        <v/>
      </c>
      <c r="Z40" s="4">
        <f> U40 * F40 </f>
        <v/>
      </c>
      <c r="AA40" s="4" t="s">
        <v>74</v>
      </c>
      <c r="AB40" s="4" t="n">
        <v>1883</v>
      </c>
      <c r="AC40" s="4">
        <f>GDelta(I40,AB40,G40,(L40+1)/245,N40,O40,K40)*J40 </f>
        <v/>
      </c>
      <c r="AD40" s="4">
        <f>GGamma(AB40,G40,(L40+1)/245,N40,O40,K40)*J40 </f>
        <v/>
      </c>
      <c r="AE40" s="4">
        <f>GVega(AB40,G40,(L40+1)/245,N40,O40,K40)/100*J40 </f>
        <v/>
      </c>
      <c r="AF40" s="4">
        <f>GTheta(I40,AB40,G40,(L40+1)/245,N40,O40,K40)/245*J40 </f>
        <v/>
      </c>
      <c r="AG40" s="4">
        <f>GRho(I40,AB40,G40,(L40+1)/245,N40,O40,K40)/100 </f>
        <v/>
      </c>
    </row>
    <row customHeight="1" ht="20" r="41" s="1" spans="1:33">
      <c r="A41" s="4" t="s">
        <v>8</v>
      </c>
      <c r="B41" s="5" t="s">
        <v>95</v>
      </c>
      <c r="C41" s="4" t="s">
        <v>26</v>
      </c>
      <c r="D41" s="4" t="s">
        <v>77</v>
      </c>
      <c r="E41" s="4" t="s">
        <v>80</v>
      </c>
      <c r="F41" s="4" t="n">
        <v>1300</v>
      </c>
      <c r="G41" s="4" t="n">
        <v>1845</v>
      </c>
      <c r="H41" s="4" t="n">
        <v>1845</v>
      </c>
      <c r="I41" s="4" t="s">
        <v>72</v>
      </c>
      <c r="J41" s="6" t="n">
        <v>-1</v>
      </c>
      <c r="K41" s="7" t="n">
        <v>0.23</v>
      </c>
      <c r="L41" s="4" t="n">
        <v>14</v>
      </c>
      <c r="M41" s="4" t="s">
        <v>73</v>
      </c>
      <c r="N41" s="7" t="n">
        <v>0.045</v>
      </c>
      <c r="O41" s="4" t="n">
        <v>0</v>
      </c>
      <c r="P41" s="4" t="n">
        <v>1868</v>
      </c>
      <c r="Q41" s="4">
        <f>GDelta(I41,P41,G41,L41/245,N41,O41,K41)*J41 </f>
        <v/>
      </c>
      <c r="R41" s="4">
        <f>GGamma(P41,G41,L41/245,N41,O41,K41)*J41 </f>
        <v/>
      </c>
      <c r="S41" s="4">
        <f>GVega(P41,G41,L41/245,N41,O41,K41)/100*J41 </f>
        <v/>
      </c>
      <c r="T41" s="4">
        <f>GTheta(I41,P41,G41,L41/245,N41,O41,K41)/245*J41 </f>
        <v/>
      </c>
      <c r="U41" s="4">
        <f>GRho(I41,P41,G41,L41/245,N41,O41,K41)/100 </f>
        <v/>
      </c>
      <c r="V41" s="4">
        <f> Q41 * F41 * P41</f>
        <v/>
      </c>
      <c r="W41" s="4">
        <f> R41 * F41 * P41 * P41/100</f>
        <v/>
      </c>
      <c r="X41" s="4">
        <f> S41 * F41 </f>
        <v/>
      </c>
      <c r="Y41" s="4">
        <f> T41 * F41 </f>
        <v/>
      </c>
      <c r="Z41" s="4">
        <f> U41 * F41 </f>
        <v/>
      </c>
      <c r="AA41" s="4" t="s">
        <v>74</v>
      </c>
      <c r="AB41" s="4" t="n">
        <v>1883</v>
      </c>
      <c r="AC41" s="4">
        <f>GDelta(I41,AB41,G41,(L41+1)/245,N41,O41,K41)*J41 </f>
        <v/>
      </c>
      <c r="AD41" s="4">
        <f>GGamma(AB41,G41,(L41+1)/245,N41,O41,K41)*J41 </f>
        <v/>
      </c>
      <c r="AE41" s="4">
        <f>GVega(AB41,G41,(L41+1)/245,N41,O41,K41)/100*J41 </f>
        <v/>
      </c>
      <c r="AF41" s="4">
        <f>GTheta(I41,AB41,G41,(L41+1)/245,N41,O41,K41)/245*J41 </f>
        <v/>
      </c>
      <c r="AG41" s="4">
        <f>GRho(I41,AB41,G41,(L41+1)/245,N41,O41,K41)/100 </f>
        <v/>
      </c>
    </row>
    <row customHeight="1" ht="20" r="42" s="1" spans="1:33">
      <c r="A42" s="4" t="s">
        <v>9</v>
      </c>
      <c r="B42" s="8" t="s">
        <v>92</v>
      </c>
      <c r="C42" s="4" t="s">
        <v>31</v>
      </c>
      <c r="D42" s="4" t="s">
        <v>77</v>
      </c>
      <c r="E42" s="4" t="s">
        <v>81</v>
      </c>
      <c r="F42" s="4" t="n">
        <v>500</v>
      </c>
      <c r="G42" s="4" t="n">
        <v>12810</v>
      </c>
      <c r="H42" s="4" t="n">
        <v>12810</v>
      </c>
      <c r="I42" s="4" t="s">
        <v>79</v>
      </c>
      <c r="J42" s="6" t="n">
        <v>-1</v>
      </c>
      <c r="K42" s="7" t="n">
        <v>0.173</v>
      </c>
      <c r="L42" s="4" t="n">
        <v>35</v>
      </c>
      <c r="M42" s="4" t="s">
        <v>73</v>
      </c>
      <c r="N42" s="7" t="n">
        <v>0.045</v>
      </c>
      <c r="O42" s="4" t="n">
        <v>0</v>
      </c>
      <c r="P42" s="4" t="n">
        <v>12805</v>
      </c>
      <c r="Q42" s="4">
        <f>GDelta(I42,P42,G42,L42/245,N42,O42,K42)*J42 </f>
        <v/>
      </c>
      <c r="R42" s="4">
        <f>GGamma(P42,G42,L42/245,N42,O42,K42)*J42 </f>
        <v/>
      </c>
      <c r="S42" s="4">
        <f>GVega(P42,G42,L42/245,N42,O42,K42)/100*J42 </f>
        <v/>
      </c>
      <c r="T42" s="4">
        <f>GTheta(I42,P42,G42,L42/245,N42,O42,K42)/245*J42 </f>
        <v/>
      </c>
      <c r="U42" s="4">
        <f>GRho(I42,P42,G42,L42/245,N42,O42,K42)/100 </f>
        <v/>
      </c>
      <c r="V42" s="4">
        <f> Q42 * F42 * P42</f>
        <v/>
      </c>
      <c r="W42" s="4">
        <f> R42 * F42 * P42 * P42/100</f>
        <v/>
      </c>
      <c r="X42" s="4">
        <f> S42 * F42 </f>
        <v/>
      </c>
      <c r="Y42" s="4">
        <f> T42 * F42 </f>
        <v/>
      </c>
      <c r="Z42" s="4">
        <f> U42 * F42 </f>
        <v/>
      </c>
      <c r="AA42" s="4" t="s">
        <v>74</v>
      </c>
      <c r="AB42" s="4" t="n">
        <v>12960</v>
      </c>
      <c r="AC42" s="4">
        <f>GDelta(I42,AB42,G42,(L42+1)/245,N42,O42,K42)*J42 </f>
        <v/>
      </c>
      <c r="AD42" s="4">
        <f>GGamma(AB42,G42,(L42+1)/245,N42,O42,K42)*J42 </f>
        <v/>
      </c>
      <c r="AE42" s="4">
        <f>GVega(AB42,G42,(L42+1)/245,N42,O42,K42)/100*J42 </f>
        <v/>
      </c>
      <c r="AF42" s="4">
        <f>GTheta(I42,AB42,G42,(L42+1)/245,N42,O42,K42)/245*J42 </f>
        <v/>
      </c>
      <c r="AG42" s="4">
        <f>GRho(I42,AB42,G42,(L42+1)/245,N42,O42,K42)/100 </f>
        <v/>
      </c>
    </row>
    <row customHeight="1" ht="20" r="43" s="1" spans="1:33">
      <c r="A43" s="4" t="s">
        <v>9</v>
      </c>
      <c r="B43" s="8" t="s">
        <v>92</v>
      </c>
      <c r="C43" s="4" t="s">
        <v>31</v>
      </c>
      <c r="D43" s="4" t="s">
        <v>77</v>
      </c>
      <c r="E43" s="4" t="s">
        <v>71</v>
      </c>
      <c r="F43" s="4" t="n">
        <v>500</v>
      </c>
      <c r="G43" s="4" t="n">
        <v>12810</v>
      </c>
      <c r="H43" s="4" t="n">
        <v>12810</v>
      </c>
      <c r="I43" s="4" t="s">
        <v>72</v>
      </c>
      <c r="J43" s="6" t="n">
        <v>-1</v>
      </c>
      <c r="K43" s="7" t="n">
        <v>0.173</v>
      </c>
      <c r="L43" s="4" t="n">
        <v>35</v>
      </c>
      <c r="M43" s="4" t="s">
        <v>73</v>
      </c>
      <c r="N43" s="7" t="n">
        <v>0.045</v>
      </c>
      <c r="O43" s="4" t="n">
        <v>0</v>
      </c>
      <c r="P43" s="4" t="n">
        <v>12805</v>
      </c>
      <c r="Q43" s="4">
        <f>GDelta(I43,P43,G43,L43/245,N43,O43,K43)*J43 </f>
        <v/>
      </c>
      <c r="R43" s="4">
        <f>GGamma(P43,G43,L43/245,N43,O43,K43)*J43 </f>
        <v/>
      </c>
      <c r="S43" s="4">
        <f>GVega(P43,G43,L43/245,N43,O43,K43)/100*J43 </f>
        <v/>
      </c>
      <c r="T43" s="4">
        <f>GTheta(I43,P43,G43,L43/245,N43,O43,K43)/245*J43 </f>
        <v/>
      </c>
      <c r="U43" s="4">
        <f>GRho(I43,P43,G43,L43/245,N43,O43,K43)/100 </f>
        <v/>
      </c>
      <c r="V43" s="4">
        <f> Q43 * F43 * P43</f>
        <v/>
      </c>
      <c r="W43" s="4">
        <f> R43 * F43 * P43 * P43/100</f>
        <v/>
      </c>
      <c r="X43" s="4">
        <f> S43 * F43 </f>
        <v/>
      </c>
      <c r="Y43" s="4">
        <f> T43 * F43 </f>
        <v/>
      </c>
      <c r="Z43" s="4">
        <f> U43 * F43 </f>
        <v/>
      </c>
      <c r="AA43" s="4" t="s">
        <v>74</v>
      </c>
      <c r="AB43" s="4" t="n">
        <v>12960</v>
      </c>
      <c r="AC43" s="4">
        <f>GDelta(I43,AB43,G43,(L43+1)/245,N43,O43,K43)*J43 </f>
        <v/>
      </c>
      <c r="AD43" s="4">
        <f>GGamma(AB43,G43,(L43+1)/245,N43,O43,K43)*J43 </f>
        <v/>
      </c>
      <c r="AE43" s="4">
        <f>GVega(AB43,G43,(L43+1)/245,N43,O43,K43)/100*J43 </f>
        <v/>
      </c>
      <c r="AF43" s="4">
        <f>GTheta(I43,AB43,G43,(L43+1)/245,N43,O43,K43)/245*J43 </f>
        <v/>
      </c>
      <c r="AG43" s="4">
        <f>GRho(I43,AB43,G43,(L43+1)/245,N43,O43,K43)/100 </f>
        <v/>
      </c>
    </row>
    <row customHeight="1" ht="20" r="44" s="1" spans="1:33">
      <c r="A44" s="4" t="s">
        <v>9</v>
      </c>
      <c r="B44" s="8" t="s">
        <v>96</v>
      </c>
      <c r="C44" s="4" t="s">
        <v>35</v>
      </c>
      <c r="D44" s="4" t="s">
        <v>77</v>
      </c>
      <c r="E44" s="4" t="s">
        <v>81</v>
      </c>
      <c r="F44" s="4" t="n">
        <v>350</v>
      </c>
      <c r="G44" s="4" t="n">
        <v>6510</v>
      </c>
      <c r="H44" s="4" t="n">
        <v>6510</v>
      </c>
      <c r="I44" s="4" t="s">
        <v>79</v>
      </c>
      <c r="J44" s="6" t="n">
        <v>-1</v>
      </c>
      <c r="K44" s="7" t="n">
        <v>0.11</v>
      </c>
      <c r="L44" s="4" t="n">
        <v>17</v>
      </c>
      <c r="M44" s="4" t="s">
        <v>73</v>
      </c>
      <c r="N44" s="7" t="n">
        <v>0.045</v>
      </c>
      <c r="O44" s="4" t="n">
        <v>0</v>
      </c>
      <c r="P44" s="4" t="n">
        <v>6500</v>
      </c>
      <c r="Q44" s="4">
        <f>GDelta(I44,P44,G44,L44/245,N44,O44,K44)*J44 </f>
        <v/>
      </c>
      <c r="R44" s="4">
        <f>GGamma(P44,G44,L44/245,N44,O44,K44)*J44 </f>
        <v/>
      </c>
      <c r="S44" s="4">
        <f>GVega(P44,G44,L44/245,N44,O44,K44)/100*J44 </f>
        <v/>
      </c>
      <c r="T44" s="4">
        <f>GTheta(I44,P44,G44,L44/245,N44,O44,K44)/245*J44 </f>
        <v/>
      </c>
      <c r="U44" s="4">
        <f>GRho(I44,P44,G44,L44/245,N44,O44,K44)/100 </f>
        <v/>
      </c>
      <c r="V44" s="4">
        <f> Q44 * F44 * P44</f>
        <v/>
      </c>
      <c r="W44" s="4">
        <f> R44 * F44 * P44 * P44/100</f>
        <v/>
      </c>
      <c r="X44" s="4">
        <f> S44 * F44 </f>
        <v/>
      </c>
      <c r="Y44" s="4">
        <f> T44 * F44 </f>
        <v/>
      </c>
      <c r="Z44" s="4">
        <f> U44 * F44 </f>
        <v/>
      </c>
      <c r="AA44" s="4" t="s">
        <v>74</v>
      </c>
      <c r="AB44" s="4" t="n">
        <v>6525</v>
      </c>
      <c r="AC44" s="4">
        <f>GDelta(I44,AB44,G44,(L44+1)/245,N44,O44,K44)*J44 </f>
        <v/>
      </c>
      <c r="AD44" s="4">
        <f>GGamma(AB44,G44,(L44+1)/245,N44,O44,K44)*J44 </f>
        <v/>
      </c>
      <c r="AE44" s="4">
        <f>GVega(AB44,G44,(L44+1)/245,N44,O44,K44)/100*J44 </f>
        <v/>
      </c>
      <c r="AF44" s="4">
        <f>GTheta(I44,AB44,G44,(L44+1)/245,N44,O44,K44)/245*J44 </f>
        <v/>
      </c>
      <c r="AG44" s="4">
        <f>GRho(I44,AB44,G44,(L44+1)/245,N44,O44,K44)/100 </f>
        <v/>
      </c>
    </row>
    <row customHeight="1" ht="20" r="45" s="1" spans="1:33">
      <c r="A45" s="4" t="s">
        <v>9</v>
      </c>
      <c r="B45" s="8" t="s">
        <v>96</v>
      </c>
      <c r="C45" s="4" t="s">
        <v>35</v>
      </c>
      <c r="D45" s="4" t="s">
        <v>77</v>
      </c>
      <c r="E45" s="4" t="s">
        <v>71</v>
      </c>
      <c r="F45" s="4" t="n">
        <v>350</v>
      </c>
      <c r="G45" s="4" t="n">
        <v>6510</v>
      </c>
      <c r="H45" s="4" t="n">
        <v>6510</v>
      </c>
      <c r="I45" s="4" t="s">
        <v>72</v>
      </c>
      <c r="J45" s="6" t="n">
        <v>-1</v>
      </c>
      <c r="K45" s="7" t="n">
        <v>0.11</v>
      </c>
      <c r="L45" s="4" t="n">
        <v>17</v>
      </c>
      <c r="M45" s="4" t="s">
        <v>73</v>
      </c>
      <c r="N45" s="7" t="n">
        <v>0.045</v>
      </c>
      <c r="O45" s="4" t="n">
        <v>0</v>
      </c>
      <c r="P45" s="4" t="n">
        <v>6500</v>
      </c>
      <c r="Q45" s="4">
        <f>GDelta(I45,P45,G45,L45/245,N45,O45,K45)*J45 </f>
        <v/>
      </c>
      <c r="R45" s="4">
        <f>GGamma(P45,G45,L45/245,N45,O45,K45)*J45 </f>
        <v/>
      </c>
      <c r="S45" s="4">
        <f>GVega(P45,G45,L45/245,N45,O45,K45)/100*J45 </f>
        <v/>
      </c>
      <c r="T45" s="4">
        <f>GTheta(I45,P45,G45,L45/245,N45,O45,K45)/245*J45 </f>
        <v/>
      </c>
      <c r="U45" s="4">
        <f>GRho(I45,P45,G45,L45/245,N45,O45,K45)/100 </f>
        <v/>
      </c>
      <c r="V45" s="4">
        <f> Q45 * F45 * P45</f>
        <v/>
      </c>
      <c r="W45" s="4">
        <f> R45 * F45 * P45 * P45/100</f>
        <v/>
      </c>
      <c r="X45" s="4">
        <f> S45 * F45 </f>
        <v/>
      </c>
      <c r="Y45" s="4">
        <f> T45 * F45 </f>
        <v/>
      </c>
      <c r="Z45" s="4">
        <f> U45 * F45 </f>
        <v/>
      </c>
      <c r="AA45" s="4" t="s">
        <v>74</v>
      </c>
      <c r="AB45" s="4" t="n">
        <v>6525</v>
      </c>
      <c r="AC45" s="4">
        <f>GDelta(I45,AB45,G45,(L45+1)/245,N45,O45,K45)*J45 </f>
        <v/>
      </c>
      <c r="AD45" s="4">
        <f>GGamma(AB45,G45,(L45+1)/245,N45,O45,K45)*J45 </f>
        <v/>
      </c>
      <c r="AE45" s="4">
        <f>GVega(AB45,G45,(L45+1)/245,N45,O45,K45)/100*J45 </f>
        <v/>
      </c>
      <c r="AF45" s="4">
        <f>GTheta(I45,AB45,G45,(L45+1)/245,N45,O45,K45)/245*J45 </f>
        <v/>
      </c>
      <c r="AG45" s="4">
        <f>GRho(I45,AB45,G45,(L45+1)/245,N45,O45,K45)/100 </f>
        <v/>
      </c>
    </row>
    <row customHeight="1" ht="20" r="46" s="1" spans="1:33">
      <c r="A46" s="4" t="s">
        <v>9</v>
      </c>
      <c r="B46" s="8" t="s">
        <v>97</v>
      </c>
      <c r="C46" s="4" t="s">
        <v>35</v>
      </c>
      <c r="D46" s="4" t="s">
        <v>77</v>
      </c>
      <c r="E46" s="4" t="s">
        <v>81</v>
      </c>
      <c r="F46" s="4" t="n">
        <v>350</v>
      </c>
      <c r="G46" s="4" t="n">
        <v>6510</v>
      </c>
      <c r="H46" s="4" t="n">
        <v>6510</v>
      </c>
      <c r="I46" s="4" t="s">
        <v>79</v>
      </c>
      <c r="J46" s="6" t="n">
        <v>-1</v>
      </c>
      <c r="K46" s="7" t="n">
        <v>0.11</v>
      </c>
      <c r="L46" s="4" t="n">
        <v>17</v>
      </c>
      <c r="M46" s="4" t="s">
        <v>73</v>
      </c>
      <c r="N46" s="7" t="n">
        <v>0.045</v>
      </c>
      <c r="O46" s="4" t="n">
        <v>0</v>
      </c>
      <c r="P46" s="4" t="n">
        <v>6500</v>
      </c>
      <c r="Q46" s="4">
        <f>GDelta(I46,P46,G46,L46/245,N46,O46,K46)*J46 </f>
        <v/>
      </c>
      <c r="R46" s="4">
        <f>GGamma(P46,G46,L46/245,N46,O46,K46)*J46 </f>
        <v/>
      </c>
      <c r="S46" s="4">
        <f>GVega(P46,G46,L46/245,N46,O46,K46)/100*J46 </f>
        <v/>
      </c>
      <c r="T46" s="4">
        <f>GTheta(I46,P46,G46,L46/245,N46,O46,K46)/245*J46 </f>
        <v/>
      </c>
      <c r="U46" s="4">
        <f>GRho(I46,P46,G46,L46/245,N46,O46,K46)/100 </f>
        <v/>
      </c>
      <c r="V46" s="4">
        <f> Q46 * F46 * P46</f>
        <v/>
      </c>
      <c r="W46" s="4">
        <f> R46 * F46 * P46 * P46/100</f>
        <v/>
      </c>
      <c r="X46" s="4">
        <f> S46 * F46 </f>
        <v/>
      </c>
      <c r="Y46" s="4">
        <f> T46 * F46 </f>
        <v/>
      </c>
      <c r="Z46" s="4">
        <f> U46 * F46 </f>
        <v/>
      </c>
      <c r="AA46" s="4" t="s">
        <v>74</v>
      </c>
      <c r="AB46" s="4" t="n">
        <v>6525</v>
      </c>
      <c r="AC46" s="4">
        <f>GDelta(I46,AB46,G46,(L46+1)/245,N46,O46,K46)*J46 </f>
        <v/>
      </c>
      <c r="AD46" s="4">
        <f>GGamma(AB46,G46,(L46+1)/245,N46,O46,K46)*J46 </f>
        <v/>
      </c>
      <c r="AE46" s="4">
        <f>GVega(AB46,G46,(L46+1)/245,N46,O46,K46)/100*J46 </f>
        <v/>
      </c>
      <c r="AF46" s="4">
        <f>GTheta(I46,AB46,G46,(L46+1)/245,N46,O46,K46)/245*J46 </f>
        <v/>
      </c>
      <c r="AG46" s="4">
        <f>GRho(I46,AB46,G46,(L46+1)/245,N46,O46,K46)/100 </f>
        <v/>
      </c>
    </row>
    <row customHeight="1" ht="20" r="47" s="1" spans="1:33">
      <c r="A47" s="4" t="s">
        <v>9</v>
      </c>
      <c r="B47" s="8" t="s">
        <v>97</v>
      </c>
      <c r="C47" s="4" t="s">
        <v>35</v>
      </c>
      <c r="D47" s="4" t="s">
        <v>77</v>
      </c>
      <c r="E47" s="4" t="s">
        <v>71</v>
      </c>
      <c r="F47" s="4" t="n">
        <v>350</v>
      </c>
      <c r="G47" s="4" t="n">
        <v>6510</v>
      </c>
      <c r="H47" s="4" t="n">
        <v>6510</v>
      </c>
      <c r="I47" s="4" t="s">
        <v>72</v>
      </c>
      <c r="J47" s="6" t="n">
        <v>-1</v>
      </c>
      <c r="K47" s="7" t="n">
        <v>0.11</v>
      </c>
      <c r="L47" s="4" t="n">
        <v>17</v>
      </c>
      <c r="M47" s="4" t="s">
        <v>73</v>
      </c>
      <c r="N47" s="7" t="n">
        <v>0.045</v>
      </c>
      <c r="O47" s="4" t="n">
        <v>0</v>
      </c>
      <c r="P47" s="4" t="n">
        <v>6500</v>
      </c>
      <c r="Q47" s="4">
        <f>GDelta(I47,P47,G47,L47/245,N47,O47,K47)*J47 </f>
        <v/>
      </c>
      <c r="R47" s="4">
        <f>GGamma(P47,G47,L47/245,N47,O47,K47)*J47 </f>
        <v/>
      </c>
      <c r="S47" s="4">
        <f>GVega(P47,G47,L47/245,N47,O47,K47)/100*J47 </f>
        <v/>
      </c>
      <c r="T47" s="4">
        <f>GTheta(I47,P47,G47,L47/245,N47,O47,K47)/245*J47 </f>
        <v/>
      </c>
      <c r="U47" s="4">
        <f>GRho(I47,P47,G47,L47/245,N47,O47,K47)/100 </f>
        <v/>
      </c>
      <c r="V47" s="4">
        <f> Q47 * F47 * P47</f>
        <v/>
      </c>
      <c r="W47" s="4">
        <f> R47 * F47 * P47 * P47/100</f>
        <v/>
      </c>
      <c r="X47" s="4">
        <f> S47 * F47 </f>
        <v/>
      </c>
      <c r="Y47" s="4">
        <f> T47 * F47 </f>
        <v/>
      </c>
      <c r="Z47" s="4">
        <f> U47 * F47 </f>
        <v/>
      </c>
      <c r="AA47" s="4" t="s">
        <v>74</v>
      </c>
      <c r="AB47" s="4" t="n">
        <v>6525</v>
      </c>
      <c r="AC47" s="4">
        <f>GDelta(I47,AB47,G47,(L47+1)/245,N47,O47,K47)*J47 </f>
        <v/>
      </c>
      <c r="AD47" s="4">
        <f>GGamma(AB47,G47,(L47+1)/245,N47,O47,K47)*J47 </f>
        <v/>
      </c>
      <c r="AE47" s="4">
        <f>GVega(AB47,G47,(L47+1)/245,N47,O47,K47)/100*J47 </f>
        <v/>
      </c>
      <c r="AF47" s="4">
        <f>GTheta(I47,AB47,G47,(L47+1)/245,N47,O47,K47)/245*J47 </f>
        <v/>
      </c>
      <c r="AG47" s="4">
        <f>GRho(I47,AB47,G47,(L47+1)/245,N47,O47,K47)/100 </f>
        <v/>
      </c>
    </row>
    <row customHeight="1" ht="20" r="48" s="1" spans="1:33">
      <c r="A48" s="9" t="s">
        <v>8</v>
      </c>
      <c r="B48" s="9" t="s">
        <v>98</v>
      </c>
      <c r="C48" s="9" t="s">
        <v>27</v>
      </c>
      <c r="D48" s="9" t="s">
        <v>77</v>
      </c>
      <c r="E48" s="9" t="s">
        <v>99</v>
      </c>
      <c r="F48" s="9" t="n">
        <v>17500</v>
      </c>
      <c r="G48" s="9" t="n">
        <v>1906.72</v>
      </c>
      <c r="H48" s="9" t="n">
        <v>1906.72</v>
      </c>
      <c r="I48" s="9" t="s">
        <v>72</v>
      </c>
      <c r="J48" s="10" t="n">
        <v>-1</v>
      </c>
      <c r="K48" s="11" t="s">
        <v>100</v>
      </c>
      <c r="L48" s="9" t="n">
        <v>81</v>
      </c>
      <c r="M48" s="9" t="s">
        <v>73</v>
      </c>
      <c r="N48" s="11" t="n">
        <v>0.045</v>
      </c>
      <c r="O48" s="9" t="n">
        <v>0</v>
      </c>
      <c r="P48" s="9" t="n">
        <v>0</v>
      </c>
      <c r="Q48" s="9">
        <f>GDelta(I48,P48,G48,L48/245,N48,O48,K48)*J48 </f>
        <v/>
      </c>
      <c r="R48" s="9">
        <f>GGamma(P48,G48,L48/245,N48,O48,K48)*J48 </f>
        <v/>
      </c>
      <c r="S48" s="9">
        <f>GVega(P48,G48,L48/245,N48,O48,K48)/100*J48 </f>
        <v/>
      </c>
      <c r="T48" s="9">
        <f>GTheta(I48,P48,G48,L48/245,N48,O48,K48)/245*J48 </f>
        <v/>
      </c>
      <c r="U48" s="9">
        <f>GRho(I48,P48,G48,L48/245,N48,O48,K48)/100 </f>
        <v/>
      </c>
      <c r="V48" s="9">
        <f> Q48 * F48 * P48</f>
        <v/>
      </c>
      <c r="W48" s="9">
        <f> R48 * F48 * P48 * P48/100</f>
        <v/>
      </c>
      <c r="X48" s="9">
        <f> S48 * F48 </f>
        <v/>
      </c>
      <c r="Y48" s="9">
        <f> T48 * F48 </f>
        <v/>
      </c>
      <c r="Z48" s="9">
        <f> U48 * F48 </f>
        <v/>
      </c>
      <c r="AA48" s="9" t="s">
        <v>74</v>
      </c>
      <c r="AB48" s="9" t="n">
        <v>0</v>
      </c>
      <c r="AC48" s="9">
        <f>GDelta(I48,AB48,G48,(L48+1)/245,N48,O48,K48)*J48 </f>
        <v/>
      </c>
      <c r="AD48" s="9">
        <f>GGamma(AB48,G48,(L48+1)/245,N48,O48,K48)*J48 </f>
        <v/>
      </c>
      <c r="AE48" s="9">
        <f>GVega(AB48,G48,(L48+1)/245,N48,O48,K48)/100*J48 </f>
        <v/>
      </c>
      <c r="AF48" s="9">
        <f>GTheta(I48,AB48,G48,(L48+1)/245,N48,O48,K48)/245*J48 </f>
        <v/>
      </c>
      <c r="AG48" s="9">
        <f>GRho(I48,AB48,G48,(L48+1)/245,N48,O48,K48)/100 </f>
        <v/>
      </c>
    </row>
    <row customHeight="1" ht="20" r="49" s="1" spans="1:33">
      <c r="A49" s="4" t="s">
        <v>8</v>
      </c>
      <c r="B49" s="5" t="s">
        <v>86</v>
      </c>
      <c r="C49" s="4" t="s">
        <v>24</v>
      </c>
      <c r="D49" s="4" t="s">
        <v>70</v>
      </c>
      <c r="E49" s="4" t="s">
        <v>81</v>
      </c>
      <c r="F49" s="4" t="n">
        <v>50</v>
      </c>
      <c r="G49" s="4" t="n">
        <v>51400</v>
      </c>
      <c r="H49" s="4" t="n">
        <v>49420</v>
      </c>
      <c r="I49" s="4" t="s">
        <v>79</v>
      </c>
      <c r="J49" s="6" t="n">
        <v>1</v>
      </c>
      <c r="K49" s="7" t="n">
        <v>0.152</v>
      </c>
      <c r="L49" s="4" t="n">
        <v>16</v>
      </c>
      <c r="M49" s="4" t="s">
        <v>73</v>
      </c>
      <c r="N49" s="7" t="n">
        <v>0.045</v>
      </c>
      <c r="O49" s="4" t="n">
        <v>0</v>
      </c>
      <c r="P49" s="4" t="n">
        <v>49350</v>
      </c>
      <c r="Q49" s="4">
        <f>GDelta(I49,P49,G49,L49/245,N49,O49,K49)*J49 </f>
        <v/>
      </c>
      <c r="R49" s="4">
        <f>GGamma(P49,G49,L49/245,N49,O49,K49)*J49 </f>
        <v/>
      </c>
      <c r="S49" s="4">
        <f>GVega(P49,G49,L49/245,N49,O49,K49)/100*J49 </f>
        <v/>
      </c>
      <c r="T49" s="4">
        <f>GTheta(I49,P49,G49,L49/245,N49,O49,K49)/245*J49 </f>
        <v/>
      </c>
      <c r="U49" s="4">
        <f>GRho(I49,P49,G49,L49/245,N49,O49,K49)/100 </f>
        <v/>
      </c>
      <c r="V49" s="4">
        <f> Q49 * F49 * P49</f>
        <v/>
      </c>
      <c r="W49" s="4">
        <f> R49 * F49 * P49 * P49/100</f>
        <v/>
      </c>
      <c r="X49" s="4">
        <f> S49 * F49 </f>
        <v/>
      </c>
      <c r="Y49" s="4">
        <f> T49 * F49 </f>
        <v/>
      </c>
      <c r="Z49" s="4">
        <f> U49 * F49 </f>
        <v/>
      </c>
      <c r="AA49" s="4" t="s">
        <v>74</v>
      </c>
      <c r="AB49" s="4" t="n">
        <v>49280</v>
      </c>
      <c r="AC49" s="4">
        <f>GDelta(I49,AB49,G49,(L49+1)/245,N49,O49,K49)*J49 </f>
        <v/>
      </c>
      <c r="AD49" s="4">
        <f>GGamma(AB49,G49,(L49+1)/245,N49,O49,K49)*J49 </f>
        <v/>
      </c>
      <c r="AE49" s="4">
        <f>GVega(AB49,G49,(L49+1)/245,N49,O49,K49)/100*J49 </f>
        <v/>
      </c>
      <c r="AF49" s="4">
        <f>GTheta(I49,AB49,G49,(L49+1)/245,N49,O49,K49)/245*J49 </f>
        <v/>
      </c>
      <c r="AG49" s="4">
        <f>GRho(I49,AB49,G49,(L49+1)/245,N49,O49,K49)/100 </f>
        <v/>
      </c>
    </row>
    <row customHeight="1" ht="20" r="50" s="1" spans="1:33">
      <c r="A50" s="4" t="s">
        <v>8</v>
      </c>
      <c r="B50" s="5" t="s">
        <v>86</v>
      </c>
      <c r="C50" s="4" t="s">
        <v>24</v>
      </c>
      <c r="D50" s="4" t="s">
        <v>70</v>
      </c>
      <c r="E50" s="4" t="s">
        <v>71</v>
      </c>
      <c r="F50" s="4" t="n">
        <v>50</v>
      </c>
      <c r="G50" s="4" t="n">
        <v>47440</v>
      </c>
      <c r="H50" s="4" t="n">
        <v>49420</v>
      </c>
      <c r="I50" s="4" t="s">
        <v>72</v>
      </c>
      <c r="J50" s="6" t="n">
        <v>1</v>
      </c>
      <c r="K50" s="7" t="n">
        <v>0.152</v>
      </c>
      <c r="L50" s="4" t="n">
        <v>16</v>
      </c>
      <c r="M50" s="4" t="s">
        <v>73</v>
      </c>
      <c r="N50" s="7" t="n">
        <v>0.045</v>
      </c>
      <c r="O50" s="4" t="n">
        <v>0</v>
      </c>
      <c r="P50" s="4" t="n">
        <v>49350</v>
      </c>
      <c r="Q50" s="4">
        <f>GDelta(I50,P50,G50,L50/245,N50,O50,K50)*J50 </f>
        <v/>
      </c>
      <c r="R50" s="4">
        <f>GGamma(P50,G50,L50/245,N50,O50,K50)*J50 </f>
        <v/>
      </c>
      <c r="S50" s="4">
        <f>GVega(P50,G50,L50/245,N50,O50,K50)/100*J50 </f>
        <v/>
      </c>
      <c r="T50" s="4">
        <f>GTheta(I50,P50,G50,L50/245,N50,O50,K50)/245*J50 </f>
        <v/>
      </c>
      <c r="U50" s="4">
        <f>GRho(I50,P50,G50,L50/245,N50,O50,K50)/100 </f>
        <v/>
      </c>
      <c r="V50" s="4">
        <f> Q50 * F50 * P50</f>
        <v/>
      </c>
      <c r="W50" s="4">
        <f> R50 * F50 * P50 * P50/100</f>
        <v/>
      </c>
      <c r="X50" s="4">
        <f> S50 * F50 </f>
        <v/>
      </c>
      <c r="Y50" s="4">
        <f> T50 * F50 </f>
        <v/>
      </c>
      <c r="Z50" s="4">
        <f> U50 * F50 </f>
        <v/>
      </c>
      <c r="AA50" s="4" t="s">
        <v>74</v>
      </c>
      <c r="AB50" s="4" t="n">
        <v>49280</v>
      </c>
      <c r="AC50" s="4">
        <f>GDelta(I50,AB50,G50,(L50+1)/245,N50,O50,K50)*J50 </f>
        <v/>
      </c>
      <c r="AD50" s="4">
        <f>GGamma(AB50,G50,(L50+1)/245,N50,O50,K50)*J50 </f>
        <v/>
      </c>
      <c r="AE50" s="4">
        <f>GVega(AB50,G50,(L50+1)/245,N50,O50,K50)/100*J50 </f>
        <v/>
      </c>
      <c r="AF50" s="4">
        <f>GTheta(I50,AB50,G50,(L50+1)/245,N50,O50,K50)/245*J50 </f>
        <v/>
      </c>
      <c r="AG50" s="4">
        <f>GRho(I50,AB50,G50,(L50+1)/245,N50,O50,K50)/100 </f>
        <v/>
      </c>
    </row>
    <row customHeight="1" ht="20" r="51" s="1" spans="1:33">
      <c r="A51" s="4" t="s">
        <v>9</v>
      </c>
      <c r="B51" s="8" t="s">
        <v>101</v>
      </c>
      <c r="C51" s="4" t="s">
        <v>25</v>
      </c>
      <c r="D51" s="4" t="s">
        <v>77</v>
      </c>
      <c r="E51" s="4" t="s">
        <v>81</v>
      </c>
      <c r="F51" s="4" t="n">
        <v>800</v>
      </c>
      <c r="G51" s="4" t="n">
        <v>6814.8</v>
      </c>
      <c r="H51" s="4" t="n">
        <v>6310</v>
      </c>
      <c r="I51" s="4" t="s">
        <v>79</v>
      </c>
      <c r="J51" s="6" t="n">
        <v>-1</v>
      </c>
      <c r="K51" s="7" t="n">
        <v>0.2</v>
      </c>
      <c r="L51" s="4" t="n">
        <v>39</v>
      </c>
      <c r="M51" s="4" t="s">
        <v>73</v>
      </c>
      <c r="N51" s="7" t="n">
        <v>0.045</v>
      </c>
      <c r="O51" s="4" t="n">
        <v>0</v>
      </c>
      <c r="P51" s="4" t="n">
        <v>6352</v>
      </c>
      <c r="Q51" s="4">
        <f>GDelta(I51,P51,G51,L51/245,N51,O51,K51)*J51 </f>
        <v/>
      </c>
      <c r="R51" s="4">
        <f>GGamma(P51,G51,L51/245,N51,O51,K51)*J51 </f>
        <v/>
      </c>
      <c r="S51" s="4">
        <f>GVega(P51,G51,L51/245,N51,O51,K51)/100*J51 </f>
        <v/>
      </c>
      <c r="T51" s="4">
        <f>GTheta(I51,P51,G51,L51/245,N51,O51,K51)/245*J51 </f>
        <v/>
      </c>
      <c r="U51" s="4">
        <f>GRho(I51,P51,G51,L51/245,N51,O51,K51)/100 </f>
        <v/>
      </c>
      <c r="V51" s="4">
        <f> Q51 * F51 * P51</f>
        <v/>
      </c>
      <c r="W51" s="4">
        <f> R51 * F51 * P51 * P51/100</f>
        <v/>
      </c>
      <c r="X51" s="4">
        <f> S51 * F51 </f>
        <v/>
      </c>
      <c r="Y51" s="4">
        <f> T51 * F51 </f>
        <v/>
      </c>
      <c r="Z51" s="4">
        <f> U51 * F51 </f>
        <v/>
      </c>
      <c r="AA51" s="4" t="s">
        <v>74</v>
      </c>
      <c r="AB51" s="4" t="n">
        <v>6362</v>
      </c>
      <c r="AC51" s="4">
        <f>GDelta(I51,AB51,G51,(L51+1)/245,N51,O51,K51)*J51 </f>
        <v/>
      </c>
      <c r="AD51" s="4">
        <f>GGamma(AB51,G51,(L51+1)/245,N51,O51,K51)*J51 </f>
        <v/>
      </c>
      <c r="AE51" s="4">
        <f>GVega(AB51,G51,(L51+1)/245,N51,O51,K51)/100*J51 </f>
        <v/>
      </c>
      <c r="AF51" s="4">
        <f>GTheta(I51,AB51,G51,(L51+1)/245,N51,O51,K51)/245*J51 </f>
        <v/>
      </c>
      <c r="AG51" s="4">
        <f>GRho(I51,AB51,G51,(L51+1)/245,N51,O51,K51)/100 </f>
        <v/>
      </c>
    </row>
    <row customHeight="1" ht="20" r="52" s="1" spans="1:33">
      <c r="A52" s="4" t="s">
        <v>9</v>
      </c>
      <c r="B52" s="8" t="s">
        <v>101</v>
      </c>
      <c r="C52" s="4" t="s">
        <v>25</v>
      </c>
      <c r="D52" s="4" t="s">
        <v>77</v>
      </c>
      <c r="E52" s="4" t="s">
        <v>71</v>
      </c>
      <c r="F52" s="4" t="n">
        <v>800</v>
      </c>
      <c r="G52" s="4" t="n">
        <v>5805.2</v>
      </c>
      <c r="H52" s="4" t="n">
        <v>6310</v>
      </c>
      <c r="I52" s="4" t="s">
        <v>72</v>
      </c>
      <c r="J52" s="6" t="n">
        <v>-1</v>
      </c>
      <c r="K52" s="7" t="n">
        <v>0.2</v>
      </c>
      <c r="L52" s="4" t="n">
        <v>39</v>
      </c>
      <c r="M52" s="4" t="s">
        <v>73</v>
      </c>
      <c r="N52" s="7" t="n">
        <v>0.045</v>
      </c>
      <c r="O52" s="4" t="n">
        <v>0</v>
      </c>
      <c r="P52" s="4" t="n">
        <v>6352</v>
      </c>
      <c r="Q52" s="4">
        <f>GDelta(I52,P52,G52,L52/245,N52,O52,K52)*J52 </f>
        <v/>
      </c>
      <c r="R52" s="4">
        <f>GGamma(P52,G52,L52/245,N52,O52,K52)*J52 </f>
        <v/>
      </c>
      <c r="S52" s="4">
        <f>GVega(P52,G52,L52/245,N52,O52,K52)/100*J52 </f>
        <v/>
      </c>
      <c r="T52" s="4">
        <f>GTheta(I52,P52,G52,L52/245,N52,O52,K52)/245*J52 </f>
        <v/>
      </c>
      <c r="U52" s="4">
        <f>GRho(I52,P52,G52,L52/245,N52,O52,K52)/100 </f>
        <v/>
      </c>
      <c r="V52" s="4">
        <f> Q52 * F52 * P52</f>
        <v/>
      </c>
      <c r="W52" s="4">
        <f> R52 * F52 * P52 * P52/100</f>
        <v/>
      </c>
      <c r="X52" s="4">
        <f> S52 * F52 </f>
        <v/>
      </c>
      <c r="Y52" s="4">
        <f> T52 * F52 </f>
        <v/>
      </c>
      <c r="Z52" s="4">
        <f> U52 * F52 </f>
        <v/>
      </c>
      <c r="AA52" s="4" t="s">
        <v>74</v>
      </c>
      <c r="AB52" s="4" t="n">
        <v>6362</v>
      </c>
      <c r="AC52" s="4">
        <f>GDelta(I52,AB52,G52,(L52+1)/245,N52,O52,K52)*J52 </f>
        <v/>
      </c>
      <c r="AD52" s="4">
        <f>GGamma(AB52,G52,(L52+1)/245,N52,O52,K52)*J52 </f>
        <v/>
      </c>
      <c r="AE52" s="4">
        <f>GVega(AB52,G52,(L52+1)/245,N52,O52,K52)/100*J52 </f>
        <v/>
      </c>
      <c r="AF52" s="4">
        <f>GTheta(I52,AB52,G52,(L52+1)/245,N52,O52,K52)/245*J52 </f>
        <v/>
      </c>
      <c r="AG52" s="4">
        <f>GRho(I52,AB52,G52,(L52+1)/245,N52,O52,K52)/100 </f>
        <v/>
      </c>
    </row>
    <row customHeight="1" ht="20" r="53" s="1" spans="1:33">
      <c r="A53" s="9" t="s">
        <v>8</v>
      </c>
      <c r="B53" s="9" t="s">
        <v>102</v>
      </c>
      <c r="C53" s="9" t="s">
        <v>22</v>
      </c>
      <c r="D53" s="9" t="s">
        <v>77</v>
      </c>
      <c r="E53" s="9" t="s">
        <v>103</v>
      </c>
      <c r="F53" s="9" t="n">
        <v>8120.9</v>
      </c>
      <c r="G53" s="9" t="n">
        <v>1918</v>
      </c>
      <c r="H53" s="9" t="n">
        <v>1918</v>
      </c>
      <c r="I53" s="9" t="s">
        <v>79</v>
      </c>
      <c r="J53" s="10" t="n">
        <v>-1</v>
      </c>
      <c r="K53" s="11" t="n">
        <v>0.18</v>
      </c>
      <c r="L53" s="9" t="n">
        <v>9</v>
      </c>
      <c r="M53" s="9" t="s">
        <v>73</v>
      </c>
      <c r="N53" s="11" t="n">
        <v>0.045</v>
      </c>
      <c r="O53" s="9" t="n">
        <v>0</v>
      </c>
      <c r="P53" s="9" t="n">
        <v>1918</v>
      </c>
      <c r="Q53" s="9">
        <f>GDelta(I53,P53,G53,L53/245,N53,O53,K53)*J53 </f>
        <v/>
      </c>
      <c r="R53" s="9">
        <f>GGamma(P53,G53,L53/245,N53,O53,K53)*J53 </f>
        <v/>
      </c>
      <c r="S53" s="9">
        <f>GVega(P53,G53,L53/245,N53,O53,K53)/100*J53 </f>
        <v/>
      </c>
      <c r="T53" s="9">
        <f>GTheta(I53,P53,G53,L53/245,N53,O53,K53)/245*J53 </f>
        <v/>
      </c>
      <c r="U53" s="9">
        <f>GRho(I53,P53,G53,L53/245,N53,O53,K53)/100 </f>
        <v/>
      </c>
      <c r="V53" s="9">
        <f> Q53 * F53 * P53</f>
        <v/>
      </c>
      <c r="W53" s="9">
        <f> R53 * F53 * P53 * P53/100</f>
        <v/>
      </c>
      <c r="X53" s="9">
        <f> S53 * F53 </f>
        <v/>
      </c>
      <c r="Y53" s="9">
        <f> T53 * F53 </f>
        <v/>
      </c>
      <c r="Z53" s="9">
        <f> U53 * F53 </f>
        <v/>
      </c>
      <c r="AA53" s="9" t="s">
        <v>74</v>
      </c>
      <c r="AB53" s="9" t="n">
        <v>1910</v>
      </c>
      <c r="AC53" s="9">
        <f>GDelta(I53,AB53,G53,(L53+1)/245,N53,O53,K53)*J53 </f>
        <v/>
      </c>
      <c r="AD53" s="9">
        <f>GGamma(AB53,G53,(L53+1)/245,N53,O53,K53)*J53 </f>
        <v/>
      </c>
      <c r="AE53" s="9">
        <f>GVega(AB53,G53,(L53+1)/245,N53,O53,K53)/100*J53 </f>
        <v/>
      </c>
      <c r="AF53" s="9">
        <f>GTheta(I53,AB53,G53,(L53+1)/245,N53,O53,K53)/245*J53 </f>
        <v/>
      </c>
      <c r="AG53" s="9">
        <f>GRho(I53,AB53,G53,(L53+1)/245,N53,O53,K53)/100 </f>
        <v/>
      </c>
    </row>
    <row customHeight="1" ht="30" r="57" s="1" spans="1:33">
      <c r="A57" s="13" t="s">
        <v>17</v>
      </c>
      <c r="B57" s="14" t="s">
        <v>18</v>
      </c>
      <c r="C57" s="14" t="s">
        <v>19</v>
      </c>
      <c r="D57" s="14" t="s">
        <v>2</v>
      </c>
      <c r="E57" s="14" t="s">
        <v>3</v>
      </c>
      <c r="F57" s="14" t="s">
        <v>4</v>
      </c>
      <c r="G57" s="14" t="s">
        <v>5</v>
      </c>
      <c r="H57" s="14" t="s">
        <v>20</v>
      </c>
    </row>
    <row r="58" spans="1:33">
      <c r="A58" s="15" t="s">
        <v>8</v>
      </c>
      <c r="B58" t="s">
        <v>22</v>
      </c>
      <c r="C58">
        <f> V2+V53</f>
        <v/>
      </c>
      <c r="D58">
        <f> W2+W53</f>
        <v/>
      </c>
      <c r="E58">
        <f> X2+X53</f>
        <v/>
      </c>
      <c r="F58">
        <f> Y2+Y53</f>
        <v/>
      </c>
      <c r="G58">
        <f> Z2+Z53</f>
        <v/>
      </c>
      <c r="H58" t="n">
        <v>0.18</v>
      </c>
    </row>
    <row r="59" spans="1:33">
      <c r="B59" t="s">
        <v>23</v>
      </c>
      <c r="C59">
        <f> V16+V17</f>
        <v/>
      </c>
      <c r="D59">
        <f> W16+W17</f>
        <v/>
      </c>
      <c r="E59">
        <f> X16+X17</f>
        <v/>
      </c>
      <c r="F59">
        <f> Y16+Y17</f>
        <v/>
      </c>
      <c r="G59">
        <f> Z16+Z17</f>
        <v/>
      </c>
      <c r="H59" t="n">
        <v>0.152</v>
      </c>
    </row>
    <row r="60" spans="1:33">
      <c r="B60" t="s">
        <v>24</v>
      </c>
      <c r="C60">
        <f> V26+V27+V33+V34+V49+V50</f>
        <v/>
      </c>
      <c r="D60">
        <f> W26+W27+W33+W34+W49+W50</f>
        <v/>
      </c>
      <c r="E60">
        <f> X26+X27+X33+X34+X49+X50</f>
        <v/>
      </c>
      <c r="F60">
        <f> Y26+Y27+Y33+Y34+Y49+Y50</f>
        <v/>
      </c>
      <c r="G60">
        <f> Z26+Z27+Z33+Z34+Z49+Z50</f>
        <v/>
      </c>
      <c r="H60" t="n">
        <v>0.152</v>
      </c>
    </row>
    <row r="61" spans="1:33">
      <c r="B61" t="s">
        <v>25</v>
      </c>
      <c r="C61">
        <f> V31</f>
        <v/>
      </c>
      <c r="D61">
        <f> W31</f>
        <v/>
      </c>
      <c r="E61">
        <f> X31</f>
        <v/>
      </c>
      <c r="F61">
        <f> Y31</f>
        <v/>
      </c>
      <c r="G61">
        <f> Z31</f>
        <v/>
      </c>
      <c r="H61" t="n">
        <v>0.2</v>
      </c>
    </row>
    <row r="62" spans="1:33">
      <c r="B62" t="s">
        <v>26</v>
      </c>
      <c r="C62">
        <f> V40+V41</f>
        <v/>
      </c>
      <c r="D62">
        <f> W40+W41</f>
        <v/>
      </c>
      <c r="E62">
        <f> X40+X41</f>
        <v/>
      </c>
      <c r="F62">
        <f> Y40+Y41</f>
        <v/>
      </c>
      <c r="G62">
        <f> Z40+Z41</f>
        <v/>
      </c>
      <c r="H62" t="n">
        <v>0.23</v>
      </c>
    </row>
    <row r="63" spans="1:33">
      <c r="B63" t="s">
        <v>27</v>
      </c>
      <c r="C63">
        <f> V48</f>
        <v/>
      </c>
      <c r="D63">
        <f> W48</f>
        <v/>
      </c>
      <c r="E63">
        <f> X48</f>
        <v/>
      </c>
      <c r="F63">
        <f> Y48</f>
        <v/>
      </c>
      <c r="G63">
        <f> Z48</f>
        <v/>
      </c>
      <c r="H63" t="s">
        <v>100</v>
      </c>
    </row>
    <row r="64" spans="1:33">
      <c r="A64" s="15" t="s">
        <v>9</v>
      </c>
      <c r="B64" t="s">
        <v>31</v>
      </c>
      <c r="C64">
        <f> V3+V4+V11+V20+V21+V22+V38+V39+V42+V43</f>
        <v/>
      </c>
      <c r="D64">
        <f> W3+W4+W11+W20+W21+W22+W38+W39+W42+W43</f>
        <v/>
      </c>
      <c r="E64">
        <f> X3+X4+X11+X20+X21+X22+X38+X39+X42+X43</f>
        <v/>
      </c>
      <c r="F64">
        <f> Y3+Y4+Y11+Y20+Y21+Y22+Y38+Y39+Y42+Y43</f>
        <v/>
      </c>
      <c r="G64">
        <f> Z3+Z4+Z11+Z20+Z21+Z22+Z38+Z39+Z42+Z43</f>
        <v/>
      </c>
      <c r="H64" t="n">
        <v>0.173</v>
      </c>
    </row>
    <row r="65" spans="1:33">
      <c r="B65" t="s">
        <v>32</v>
      </c>
      <c r="C65">
        <f> V5+V6+V7+V8+V12+V13</f>
        <v/>
      </c>
      <c r="D65">
        <f> W5+W6+W7+W8+W12+W13</f>
        <v/>
      </c>
      <c r="E65">
        <f> X5+X6+X7+X8+X12+X13</f>
        <v/>
      </c>
      <c r="F65">
        <f> Y5+Y6+Y7+Y8+Y12+Y13</f>
        <v/>
      </c>
      <c r="G65">
        <f> Z5+Z6+Z7+Z8+Z12+Z13</f>
        <v/>
      </c>
      <c r="H65" t="n">
        <v>0.253</v>
      </c>
    </row>
    <row r="66" spans="1:33">
      <c r="B66" t="s">
        <v>33</v>
      </c>
      <c r="C66">
        <f> V9</f>
        <v/>
      </c>
      <c r="D66">
        <f> W9</f>
        <v/>
      </c>
      <c r="E66">
        <f> X9</f>
        <v/>
      </c>
      <c r="F66">
        <f> Y9</f>
        <v/>
      </c>
      <c r="G66">
        <f> Z9</f>
        <v/>
      </c>
    </row>
    <row r="67" spans="1:33">
      <c r="B67" t="s">
        <v>34</v>
      </c>
      <c r="C67">
        <f> V10</f>
        <v/>
      </c>
      <c r="D67">
        <f> W10</f>
        <v/>
      </c>
      <c r="E67">
        <f> X10</f>
        <v/>
      </c>
      <c r="F67">
        <f> Y10</f>
        <v/>
      </c>
      <c r="G67">
        <f> Z10</f>
        <v/>
      </c>
    </row>
    <row r="68" spans="1:33">
      <c r="B68" t="s">
        <v>35</v>
      </c>
      <c r="C68">
        <f> V18+V19+V24+V25+V35+V36+V44+V45+V46+V47</f>
        <v/>
      </c>
      <c r="D68">
        <f> W18+W19+W24+W25+W35+W36+W44+W45+W46+W47</f>
        <v/>
      </c>
      <c r="E68">
        <f> X18+X19+X24+X25+X35+X36+X44+X45+X46+X47</f>
        <v/>
      </c>
      <c r="F68">
        <f> Y18+Y19+Y24+Y25+Y35+Y36+Y44+Y45+Y46+Y47</f>
        <v/>
      </c>
      <c r="G68">
        <f> Z18+Z19+Z24+Z25+Z35+Z36+Z44+Z45+Z46+Z47</f>
        <v/>
      </c>
      <c r="H68" t="n">
        <v>0.09</v>
      </c>
    </row>
    <row r="69" spans="1:33">
      <c r="B69" t="s">
        <v>25</v>
      </c>
      <c r="C69">
        <f> V29+V30+V51+V52</f>
        <v/>
      </c>
      <c r="D69">
        <f> W29+W30+W51+W52</f>
        <v/>
      </c>
      <c r="E69">
        <f> X29+X30+X51+X52</f>
        <v/>
      </c>
      <c r="F69">
        <f> Y29+Y30+Y51+Y52</f>
        <v/>
      </c>
      <c r="G69">
        <f> Z29+Z30+Z51+Z52</f>
        <v/>
      </c>
      <c r="H69" t="n">
        <v>0.2</v>
      </c>
    </row>
    <row r="70" spans="1:33">
      <c r="B70" t="s">
        <v>36</v>
      </c>
      <c r="C70">
        <f> V32</f>
        <v/>
      </c>
      <c r="D70">
        <f> W32</f>
        <v/>
      </c>
      <c r="E70">
        <f> X32</f>
        <v/>
      </c>
      <c r="F70">
        <f> Y32</f>
        <v/>
      </c>
      <c r="G70">
        <f> Z32</f>
        <v/>
      </c>
      <c r="H70" t="n">
        <v>0.1258</v>
      </c>
    </row>
    <row r="71" spans="1:33">
      <c r="A71" s="15" t="s">
        <v>10</v>
      </c>
      <c r="B71" t="s">
        <v>37</v>
      </c>
      <c r="C71">
        <f> V14+V15</f>
        <v/>
      </c>
      <c r="D71">
        <f> W14+W15</f>
        <v/>
      </c>
      <c r="E71">
        <f> X14+X15</f>
        <v/>
      </c>
      <c r="F71">
        <f> Y14+Y15</f>
        <v/>
      </c>
      <c r="G71">
        <f> Z14+Z15</f>
        <v/>
      </c>
      <c r="H71" t="n">
        <v>0.1685</v>
      </c>
    </row>
    <row r="72" spans="1:33">
      <c r="B72" t="s">
        <v>30</v>
      </c>
      <c r="C72">
        <f> V23</f>
        <v/>
      </c>
      <c r="D72">
        <f> W23</f>
        <v/>
      </c>
      <c r="E72">
        <f> X23</f>
        <v/>
      </c>
      <c r="F72">
        <f> Y23</f>
        <v/>
      </c>
      <c r="G72">
        <f> Z23</f>
        <v/>
      </c>
      <c r="H72" t="n">
        <v>0.2445</v>
      </c>
    </row>
    <row r="73" spans="1:33">
      <c r="B73" t="s">
        <v>38</v>
      </c>
      <c r="C73">
        <f> V28</f>
        <v/>
      </c>
      <c r="D73">
        <f> W28</f>
        <v/>
      </c>
      <c r="E73">
        <f> X28</f>
        <v/>
      </c>
      <c r="F73">
        <f> Y28</f>
        <v/>
      </c>
      <c r="G73">
        <f> Z28</f>
        <v/>
      </c>
      <c r="H73" t="n">
        <v>0.2</v>
      </c>
    </row>
    <row r="74" spans="1:33">
      <c r="A74" s="15" t="s">
        <v>11</v>
      </c>
      <c r="B74" t="s">
        <v>22</v>
      </c>
      <c r="C74">
        <f> V37</f>
        <v/>
      </c>
      <c r="D74">
        <f> W37</f>
        <v/>
      </c>
      <c r="E74">
        <f> X37</f>
        <v/>
      </c>
      <c r="F74">
        <f> Y37</f>
        <v/>
      </c>
      <c r="G74">
        <f> Z37</f>
        <v/>
      </c>
      <c r="H74" t="n">
        <v>0.18</v>
      </c>
    </row>
  </sheetData>
  <pageMargins bottom="0.75" footer="0.3" header="0.3" left="0.7" right="0.7" top="0.75"/>
</worksheet>
</file>

<file path=xl/worksheets/sheet3.xml><?xml version="1.0" encoding="utf-8"?>
<worksheet xmlns="http://schemas.openxmlformats.org/spreadsheetml/2006/main">
  <sheetPr codeName="Sheet3">
    <tabColor rgb="FF0070C0"/>
    <outlinePr summaryBelow="1" summaryRight="1"/>
    <pageSetUpPr/>
  </sheetPr>
  <dimension ref="A1:Q24"/>
  <sheetViews>
    <sheetView workbookViewId="0">
      <selection activeCell="A1" sqref="A1"/>
    </sheetView>
  </sheetViews>
  <sheetFormatPr baseColWidth="8" defaultRowHeight="14.25" outlineLevelCol="0"/>
  <cols>
    <col customWidth="1" max="1" min="1" style="1" width="10"/>
    <col customWidth="1" max="2" min="2" style="1" width="10"/>
    <col customWidth="1" max="3" min="3" style="1" width="20"/>
    <col customWidth="1" max="4" min="4" style="1" width="10"/>
    <col customWidth="1" max="5" min="5" style="1" width="10"/>
    <col customWidth="1" max="6" min="6" style="1" width="10"/>
    <col customWidth="1" max="7" min="7" style="1" width="10"/>
    <col customWidth="1" max="8" min="8" style="1" width="10"/>
    <col customWidth="1" max="9" min="9" style="1" width="10"/>
    <col customWidth="1" max="10" min="10" style="1" width="10"/>
    <col customWidth="1" max="11" min="11" style="1" width="10"/>
    <col customWidth="1" max="12" min="12" style="1" width="10"/>
    <col customWidth="1" max="13" min="13" style="1" width="10"/>
    <col customWidth="1" max="14" min="14" style="1" width="10"/>
    <col customWidth="1" max="15" min="15" style="1" width="10"/>
    <col customWidth="1" max="16" min="16" style="1" width="10"/>
    <col customWidth="1" max="17" min="17" style="1" width="10"/>
  </cols>
  <sheetData>
    <row customHeight="1" ht="40" r="1" s="1" spans="1:17">
      <c r="A1" s="2" t="s">
        <v>17</v>
      </c>
      <c r="B1" s="2" t="s">
        <v>104</v>
      </c>
      <c r="C1" s="2" t="s">
        <v>18</v>
      </c>
      <c r="D1" s="2" t="s">
        <v>105</v>
      </c>
      <c r="E1" s="2" t="s">
        <v>106</v>
      </c>
      <c r="F1" s="2" t="s">
        <v>107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108</v>
      </c>
      <c r="M1" s="2" t="s">
        <v>109</v>
      </c>
      <c r="N1" s="2" t="s">
        <v>110</v>
      </c>
      <c r="O1" s="2" t="s">
        <v>111</v>
      </c>
      <c r="P1" s="2" t="s">
        <v>112</v>
      </c>
      <c r="Q1" s="2" t="s">
        <v>113</v>
      </c>
    </row>
    <row r="2" spans="1:17">
      <c r="A2" t="s">
        <v>8</v>
      </c>
      <c r="B2" t="s">
        <v>114</v>
      </c>
      <c r="C2" t="s">
        <v>25</v>
      </c>
      <c r="D2" t="n">
        <v>47</v>
      </c>
      <c r="E2" t="n">
        <v>6352</v>
      </c>
      <c r="F2" t="n">
        <v>10</v>
      </c>
      <c r="G2" t="n">
        <v>1</v>
      </c>
      <c r="L2">
        <f>D2*E2*F2*G2</f>
        <v/>
      </c>
    </row>
    <row r="3" spans="1:17">
      <c r="B3" t="s">
        <v>115</v>
      </c>
      <c r="C3" t="s">
        <v>22</v>
      </c>
      <c r="D3" t="n">
        <v>459</v>
      </c>
      <c r="E3" t="n">
        <v>1918</v>
      </c>
      <c r="F3" t="n">
        <v>10</v>
      </c>
      <c r="G3" t="n">
        <v>1</v>
      </c>
      <c r="L3">
        <f>D3*E3*F3*G3</f>
        <v/>
      </c>
    </row>
    <row r="4" spans="1:17">
      <c r="C4" t="s">
        <v>28</v>
      </c>
      <c r="D4" t="n">
        <v>-550</v>
      </c>
      <c r="E4" t="n">
        <v>1969</v>
      </c>
      <c r="F4" t="n">
        <v>10</v>
      </c>
      <c r="G4" t="n">
        <v>1</v>
      </c>
      <c r="L4">
        <f>D4*E4*F4*G4</f>
        <v/>
      </c>
    </row>
    <row r="5" spans="1:17">
      <c r="B5" t="s">
        <v>116</v>
      </c>
      <c r="C5" t="s">
        <v>29</v>
      </c>
      <c r="D5" t="n">
        <v>-160</v>
      </c>
      <c r="E5" t="n">
        <v>2866</v>
      </c>
      <c r="F5" t="n">
        <v>10</v>
      </c>
      <c r="G5" t="n">
        <v>1</v>
      </c>
      <c r="L5">
        <f>D5*E5*F5*G5</f>
        <v/>
      </c>
    </row>
    <row r="6" spans="1:17">
      <c r="B6" t="s">
        <v>117</v>
      </c>
      <c r="C6" t="s">
        <v>26</v>
      </c>
      <c r="D6" t="n">
        <v>4</v>
      </c>
      <c r="E6" t="n">
        <v>1868</v>
      </c>
      <c r="F6" t="n">
        <v>100</v>
      </c>
      <c r="G6" t="n">
        <v>1</v>
      </c>
      <c r="L6">
        <f>D6*E6*F6*G6</f>
        <v/>
      </c>
    </row>
    <row r="7" spans="1:17">
      <c r="B7" t="s">
        <v>118</v>
      </c>
      <c r="C7" t="s">
        <v>30</v>
      </c>
      <c r="D7" t="n">
        <v>-5</v>
      </c>
      <c r="E7" t="n">
        <v>655.5</v>
      </c>
      <c r="F7" t="n">
        <v>100</v>
      </c>
      <c r="G7" t="n">
        <v>1</v>
      </c>
      <c r="L7">
        <f>D7*E7*F7*G7</f>
        <v/>
      </c>
    </row>
    <row r="8" spans="1:17">
      <c r="B8" t="s">
        <v>119</v>
      </c>
      <c r="C8" t="s">
        <v>23</v>
      </c>
      <c r="D8" t="n">
        <v>-2</v>
      </c>
      <c r="E8" t="n">
        <v>49230</v>
      </c>
      <c r="F8" t="n">
        <v>5</v>
      </c>
      <c r="G8" t="n">
        <v>1</v>
      </c>
      <c r="L8">
        <f>D8*E8*F8*G8</f>
        <v/>
      </c>
    </row>
    <row r="9" spans="1:17">
      <c r="B9" t="s">
        <v>120</v>
      </c>
      <c r="C9" t="s">
        <v>121</v>
      </c>
      <c r="D9" t="n">
        <v>-15</v>
      </c>
      <c r="E9" t="n">
        <v>49230</v>
      </c>
      <c r="F9" t="n">
        <v>5</v>
      </c>
      <c r="G9" t="n">
        <v>0</v>
      </c>
      <c r="H9" t="n">
        <v>0</v>
      </c>
      <c r="I9" t="n">
        <v>0</v>
      </c>
      <c r="J9" t="n">
        <v>0</v>
      </c>
      <c r="K9" t="n">
        <v>0</v>
      </c>
      <c r="L9">
        <f>D9*E9*F9*G9</f>
        <v/>
      </c>
      <c r="M9">
        <f>D9*E9*E9*F9*H9/100</f>
        <v/>
      </c>
      <c r="N9">
        <f>D9*F9*I9</f>
        <v/>
      </c>
      <c r="O9">
        <f>D9*F9*J9</f>
        <v/>
      </c>
      <c r="P9">
        <f>D9*F9*K9</f>
        <v/>
      </c>
      <c r="Q9" t="n">
        <v>0.2187</v>
      </c>
    </row>
    <row r="10" spans="1:17">
      <c r="C10" t="s">
        <v>23</v>
      </c>
      <c r="L10">
        <f> L9</f>
        <v/>
      </c>
      <c r="M10">
        <f> M9</f>
        <v/>
      </c>
      <c r="N10">
        <f> N9</f>
        <v/>
      </c>
      <c r="O10">
        <f> O9</f>
        <v/>
      </c>
      <c r="P10">
        <f> P9</f>
        <v/>
      </c>
    </row>
    <row r="11" spans="1:17">
      <c r="A11" t="s">
        <v>9</v>
      </c>
      <c r="B11" t="s">
        <v>114</v>
      </c>
      <c r="C11" t="s">
        <v>25</v>
      </c>
      <c r="D11" t="n">
        <v>50</v>
      </c>
      <c r="E11" t="n">
        <v>6352</v>
      </c>
      <c r="F11" t="n">
        <v>10</v>
      </c>
      <c r="G11" t="n">
        <v>1</v>
      </c>
      <c r="L11">
        <f>D11*E11*F11*G11</f>
        <v/>
      </c>
    </row>
    <row r="12" spans="1:17">
      <c r="B12" t="s">
        <v>122</v>
      </c>
      <c r="C12" t="s">
        <v>35</v>
      </c>
      <c r="D12" t="n">
        <v>-35</v>
      </c>
      <c r="E12" t="n">
        <v>6500</v>
      </c>
      <c r="F12" t="n">
        <v>5</v>
      </c>
      <c r="G12" t="n">
        <v>1</v>
      </c>
      <c r="L12">
        <f>D12*E12*F12*G12</f>
        <v/>
      </c>
    </row>
    <row r="13" spans="1:17">
      <c r="B13" t="s">
        <v>123</v>
      </c>
      <c r="C13" t="s">
        <v>32</v>
      </c>
      <c r="D13" t="n">
        <v>-115</v>
      </c>
      <c r="E13" t="n">
        <v>3202</v>
      </c>
      <c r="F13" t="n">
        <v>10</v>
      </c>
      <c r="G13" t="n">
        <v>1</v>
      </c>
      <c r="L13">
        <f>D13*E13*F13*G13</f>
        <v/>
      </c>
    </row>
    <row r="14" spans="1:17">
      <c r="B14" t="s">
        <v>124</v>
      </c>
      <c r="C14" t="s">
        <v>33</v>
      </c>
      <c r="D14" t="n">
        <v>-300</v>
      </c>
      <c r="E14" t="n">
        <v>14030</v>
      </c>
      <c r="F14" t="n">
        <v>5</v>
      </c>
      <c r="G14" t="n">
        <v>1</v>
      </c>
      <c r="L14">
        <f>D14*E14*F14*G14</f>
        <v/>
      </c>
    </row>
    <row r="15" spans="1:17">
      <c r="C15" t="s">
        <v>34</v>
      </c>
      <c r="D15" t="n">
        <v>300</v>
      </c>
      <c r="E15" t="n">
        <v>14010</v>
      </c>
      <c r="F15" t="n">
        <v>5</v>
      </c>
      <c r="G15" t="n">
        <v>1</v>
      </c>
      <c r="L15">
        <f>D15*E15*F15*G15</f>
        <v/>
      </c>
    </row>
    <row r="16" spans="1:17">
      <c r="B16" t="s">
        <v>125</v>
      </c>
      <c r="C16" t="s">
        <v>31</v>
      </c>
      <c r="D16" t="n">
        <v>-105</v>
      </c>
      <c r="E16" t="n">
        <v>12805</v>
      </c>
      <c r="F16" t="n">
        <v>10</v>
      </c>
      <c r="G16" t="n">
        <v>1</v>
      </c>
      <c r="L16">
        <f>D16*E16*F16*G16</f>
        <v/>
      </c>
    </row>
    <row r="17" spans="1:17">
      <c r="B17" t="s">
        <v>126</v>
      </c>
      <c r="C17" t="s">
        <v>36</v>
      </c>
      <c r="D17" t="n">
        <v>-45</v>
      </c>
      <c r="E17" t="n">
        <v>4610</v>
      </c>
      <c r="F17" t="n">
        <v>10</v>
      </c>
      <c r="G17" t="n">
        <v>1</v>
      </c>
      <c r="L17">
        <f>D17*E17*F17*G17</f>
        <v/>
      </c>
    </row>
    <row r="18" spans="1:17">
      <c r="A18" t="s">
        <v>10</v>
      </c>
      <c r="B18" t="s">
        <v>127</v>
      </c>
      <c r="C18" t="s">
        <v>38</v>
      </c>
      <c r="D18" t="n">
        <v>-124</v>
      </c>
      <c r="E18" t="n">
        <v>1625</v>
      </c>
      <c r="F18" t="n">
        <v>20</v>
      </c>
      <c r="G18" t="n">
        <v>1</v>
      </c>
      <c r="L18">
        <f>D18*E18*F18*G18</f>
        <v/>
      </c>
    </row>
    <row r="19" spans="1:17">
      <c r="B19" t="s">
        <v>118</v>
      </c>
      <c r="C19" t="s">
        <v>30</v>
      </c>
      <c r="D19" t="n">
        <v>-5</v>
      </c>
      <c r="E19" t="n">
        <v>655.5</v>
      </c>
      <c r="F19" t="n">
        <v>100</v>
      </c>
      <c r="G19" t="n">
        <v>1</v>
      </c>
      <c r="L19">
        <f>D19*E19*F19*G19</f>
        <v/>
      </c>
    </row>
    <row r="20" spans="1:17">
      <c r="B20" t="s">
        <v>128</v>
      </c>
      <c r="C20" t="s">
        <v>37</v>
      </c>
      <c r="D20" t="n">
        <v>-30</v>
      </c>
      <c r="E20" t="n">
        <v>3547</v>
      </c>
      <c r="F20" t="n">
        <v>10</v>
      </c>
      <c r="G20" t="n">
        <v>1</v>
      </c>
      <c r="L20">
        <f>D20*E20*F20*G20</f>
        <v/>
      </c>
    </row>
    <row r="21" spans="1:17">
      <c r="B21" t="s">
        <v>129</v>
      </c>
      <c r="C21" t="s">
        <v>130</v>
      </c>
      <c r="D21" t="n">
        <v>45</v>
      </c>
      <c r="E21" t="n">
        <v>655.5</v>
      </c>
      <c r="F21" t="n">
        <v>100</v>
      </c>
      <c r="G21" t="n">
        <v>0.3822</v>
      </c>
      <c r="H21" t="n">
        <v>0.0041</v>
      </c>
      <c r="I21" t="n">
        <v>1.3218</v>
      </c>
      <c r="J21" t="n">
        <v>-0.1784</v>
      </c>
      <c r="K21" t="n">
        <v>-0.0523</v>
      </c>
      <c r="L21">
        <f>D21*E21*F21*G21</f>
        <v/>
      </c>
      <c r="M21">
        <f>D21*E21*E21*F21*H21/100</f>
        <v/>
      </c>
      <c r="N21">
        <f>D21*F21*I21</f>
        <v/>
      </c>
      <c r="O21">
        <f>D21*F21*J21</f>
        <v/>
      </c>
      <c r="P21">
        <f>D21*F21*K21</f>
        <v/>
      </c>
      <c r="Q21" t="n">
        <v>0.2191</v>
      </c>
    </row>
    <row r="22" spans="1:17">
      <c r="C22" t="s">
        <v>131</v>
      </c>
      <c r="D22" t="n">
        <v>38</v>
      </c>
      <c r="E22" t="n">
        <v>655.5</v>
      </c>
      <c r="F22" t="n">
        <v>100</v>
      </c>
      <c r="G22" t="n">
        <v>-0.4029</v>
      </c>
      <c r="H22" t="n">
        <v>0.004200000000000001</v>
      </c>
      <c r="I22" t="n">
        <v>1.3251</v>
      </c>
      <c r="J22" t="n">
        <v>-0.1808</v>
      </c>
      <c r="K22" t="n">
        <v>-0.06470000000000001</v>
      </c>
      <c r="L22">
        <f>D22*E22*F22*G22</f>
        <v/>
      </c>
      <c r="M22">
        <f>D22*E22*E22*F22*H22/100</f>
        <v/>
      </c>
      <c r="N22">
        <f>D22*F22*I22</f>
        <v/>
      </c>
      <c r="O22">
        <f>D22*F22*J22</f>
        <v/>
      </c>
      <c r="P22">
        <f>D22*F22*K22</f>
        <v/>
      </c>
      <c r="Q22" t="n">
        <v>0.2425</v>
      </c>
    </row>
    <row r="23" spans="1:17">
      <c r="C23" t="s">
        <v>132</v>
      </c>
      <c r="D23" t="n">
        <v>38</v>
      </c>
      <c r="E23" t="n">
        <v>655.5</v>
      </c>
      <c r="F23" t="n">
        <v>100</v>
      </c>
      <c r="G23" t="n">
        <v>0.5925</v>
      </c>
      <c r="H23" t="n">
        <v>0.004200000000000001</v>
      </c>
      <c r="I23" t="n">
        <v>1.325</v>
      </c>
      <c r="J23" t="n">
        <v>-0.1801</v>
      </c>
      <c r="K23" t="n">
        <v>-0.09470000000000001</v>
      </c>
      <c r="L23">
        <f>D23*E23*F23*G23</f>
        <v/>
      </c>
      <c r="M23">
        <f>D23*E23*E23*F23*H23/100</f>
        <v/>
      </c>
      <c r="N23">
        <f>D23*F23*I23</f>
        <v/>
      </c>
      <c r="O23">
        <f>D23*F23*J23</f>
        <v/>
      </c>
      <c r="P23">
        <f>D23*F23*K23</f>
        <v/>
      </c>
      <c r="Q23" t="n">
        <v>0.2251</v>
      </c>
    </row>
    <row r="24" spans="1:17">
      <c r="C24" t="s">
        <v>39</v>
      </c>
      <c r="L24">
        <f> L21+L22+L23</f>
        <v/>
      </c>
      <c r="M24">
        <f> M21+M22+M23</f>
        <v/>
      </c>
      <c r="N24">
        <f> N21+N22+N23</f>
        <v/>
      </c>
      <c r="O24">
        <f> O21+O22+O23</f>
        <v/>
      </c>
      <c r="P24">
        <f> P21+P22+P23</f>
        <v/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>
  <sheetPr codeName="Sheet4">
    <tabColor rgb="FF7030A0"/>
    <outlinePr summaryBelow="1" summaryRight="1"/>
    <pageSetUpPr/>
  </sheetPr>
  <dimension ref="A1:AG74"/>
  <sheetViews>
    <sheetView workbookViewId="0">
      <selection activeCell="A1" sqref="A1"/>
    </sheetView>
  </sheetViews>
  <sheetFormatPr baseColWidth="8" defaultRowHeight="14.25" outlineLevelCol="0"/>
  <cols>
    <col customWidth="1" max="1" min="1" style="1" width="10"/>
    <col customWidth="1" max="2" min="2" style="1" width="30"/>
    <col customWidth="1" max="3" min="3" style="1" width="10"/>
    <col customWidth="1" max="4" min="4" style="1" width="10"/>
    <col customWidth="1" max="5" min="5" style="1" width="10"/>
    <col customWidth="1" max="6" min="6" style="1" width="10"/>
    <col customWidth="1" max="7" min="7" style="1" width="10"/>
    <col customWidth="1" max="8" min="8" style="1" width="10"/>
    <col customWidth="1" max="9" min="9" style="1" width="10"/>
    <col customWidth="1" max="10" min="10" style="1" width="10"/>
    <col customWidth="1" max="11" min="11" style="1" width="10"/>
    <col customWidth="1" max="12" min="12" style="1" width="10"/>
    <col customWidth="1" max="13" min="13" style="1" width="20"/>
    <col customWidth="1" max="14" min="14" style="1" width="10"/>
    <col customWidth="1" max="15" min="15" style="1" width="10"/>
    <col customWidth="1" max="16" min="16" style="1" width="10"/>
    <col customWidth="1" max="17" min="17" style="1" width="10"/>
    <col customWidth="1" max="18" min="18" style="1" width="10"/>
    <col customWidth="1" max="19" min="19" style="1" width="10"/>
    <col customWidth="1" max="20" min="20" style="1" width="10"/>
    <col customWidth="1" max="21" min="21" style="1" width="10"/>
    <col customWidth="1" max="22" min="22" style="1" width="10"/>
    <col customWidth="1" max="23" min="23" style="1" width="10"/>
    <col customWidth="1" max="24" min="24" style="1" width="10"/>
    <col customWidth="1" max="25" min="25" style="1" width="10"/>
    <col customWidth="1" max="26" min="26" style="1" width="10"/>
    <col customWidth="1" max="27" min="27" style="1" width="10"/>
    <col customWidth="1" max="28" min="28" style="1" width="10"/>
    <col customWidth="1" max="29" min="29" style="1" width="10"/>
    <col customWidth="1" max="30" min="30" style="1" width="10"/>
    <col customWidth="1" max="31" min="31" style="1" width="10"/>
    <col customWidth="1" max="32" min="32" style="1" width="10"/>
    <col customWidth="1" max="33" min="33" style="1" width="10"/>
  </cols>
  <sheetData>
    <row customHeight="1" ht="40" r="1" s="1" spans="1:33">
      <c r="A1" s="2" t="s">
        <v>17</v>
      </c>
      <c r="B1" s="2" t="s">
        <v>40</v>
      </c>
      <c r="C1" s="2" t="s">
        <v>41</v>
      </c>
      <c r="D1" s="2" t="s">
        <v>42</v>
      </c>
      <c r="E1" s="2" t="s">
        <v>43</v>
      </c>
      <c r="F1" s="2" t="s">
        <v>44</v>
      </c>
      <c r="G1" s="2" t="s">
        <v>45</v>
      </c>
      <c r="H1" s="2" t="s">
        <v>46</v>
      </c>
      <c r="I1" s="2" t="s">
        <v>47</v>
      </c>
      <c r="J1" s="2" t="s">
        <v>48</v>
      </c>
      <c r="K1" s="2" t="s">
        <v>49</v>
      </c>
      <c r="L1" s="2" t="s">
        <v>50</v>
      </c>
      <c r="M1" s="2" t="s">
        <v>51</v>
      </c>
      <c r="N1" s="2" t="s">
        <v>52</v>
      </c>
      <c r="O1" s="2" t="s">
        <v>53</v>
      </c>
      <c r="P1" s="2" t="s">
        <v>133</v>
      </c>
      <c r="Q1" s="2" t="s">
        <v>1</v>
      </c>
      <c r="R1" s="2" t="s">
        <v>2</v>
      </c>
      <c r="S1" s="2" t="s">
        <v>3</v>
      </c>
      <c r="T1" s="2" t="s">
        <v>55</v>
      </c>
      <c r="U1" s="2" t="s">
        <v>56</v>
      </c>
      <c r="V1" s="2" t="s">
        <v>57</v>
      </c>
      <c r="W1" s="2" t="s">
        <v>58</v>
      </c>
      <c r="X1" s="2" t="s">
        <v>59</v>
      </c>
      <c r="Y1" s="2" t="s">
        <v>60</v>
      </c>
      <c r="Z1" s="2" t="s">
        <v>61</v>
      </c>
      <c r="AA1" s="3" t="s">
        <v>62</v>
      </c>
      <c r="AB1" s="3" t="s">
        <v>134</v>
      </c>
      <c r="AC1" s="3" t="s">
        <v>64</v>
      </c>
      <c r="AD1" s="3" t="s">
        <v>65</v>
      </c>
      <c r="AE1" s="3" t="s">
        <v>66</v>
      </c>
      <c r="AF1" s="3" t="s">
        <v>67</v>
      </c>
      <c r="AG1" s="3" t="s">
        <v>68</v>
      </c>
    </row>
    <row customHeight="1" ht="20" r="2" s="1" spans="1:33">
      <c r="A2" s="4" t="s">
        <v>8</v>
      </c>
      <c r="B2" s="5" t="s">
        <v>69</v>
      </c>
      <c r="C2" s="4" t="s">
        <v>22</v>
      </c>
      <c r="D2" s="4" t="s">
        <v>70</v>
      </c>
      <c r="E2" s="4" t="s">
        <v>71</v>
      </c>
      <c r="F2" s="4" t="n">
        <v>2500</v>
      </c>
      <c r="G2" s="4" t="n">
        <v>1906.1</v>
      </c>
      <c r="H2" s="4" t="n">
        <v>1945</v>
      </c>
      <c r="I2" s="4" t="s">
        <v>72</v>
      </c>
      <c r="J2" s="6" t="n">
        <v>1</v>
      </c>
      <c r="K2" s="7" t="n">
        <v>0.07099999999999999</v>
      </c>
      <c r="L2" s="4" t="n">
        <v>41</v>
      </c>
      <c r="M2" s="4" t="s">
        <v>73</v>
      </c>
      <c r="N2" s="7" t="n">
        <v>0.045</v>
      </c>
      <c r="O2" s="4" t="n">
        <v>0</v>
      </c>
      <c r="P2" s="4" t="n">
        <v>1915</v>
      </c>
      <c r="Q2" s="4">
        <f>GDelta(I2,P2,G2,L2/245,N2,O2,K2)*J2 </f>
        <v/>
      </c>
      <c r="R2" s="4">
        <f>GGamma(P2,G2,L2/245,N2,O2,K2)*J2 </f>
        <v/>
      </c>
      <c r="S2" s="4">
        <f>GVega(P2,G2,L2/245,N2,O2,K2)/100*J2 </f>
        <v/>
      </c>
      <c r="T2" s="4">
        <f>GTheta(I2,P2,G2,L2/245,N2,O2,K2)/245*J2 </f>
        <v/>
      </c>
      <c r="U2" s="4">
        <f>GRho(I2,P2,G2,L2/245,N2,O2,K2)/100 </f>
        <v/>
      </c>
      <c r="V2" s="4">
        <f> Q2 * F2 * P2</f>
        <v/>
      </c>
      <c r="W2" s="4">
        <f> R2 * F2 * P2 * P2/100</f>
        <v/>
      </c>
      <c r="X2" s="4">
        <f> S2 * F2 </f>
        <v/>
      </c>
      <c r="Y2" s="4">
        <f> T2 * F2 </f>
        <v/>
      </c>
      <c r="Z2" s="4">
        <f> U2 * F2 </f>
        <v/>
      </c>
      <c r="AA2" s="4" t="s">
        <v>74</v>
      </c>
      <c r="AB2" s="4" t="n">
        <v>1911</v>
      </c>
      <c r="AC2" s="4">
        <f>GDelta(I2,AB2,G2,(L2+1)/245,N2,O2,K2)*J2 </f>
        <v/>
      </c>
      <c r="AD2" s="4">
        <f>GGamma(AB2,G2,(L2+1)/245,N2,O2,K2)*J2 </f>
        <v/>
      </c>
      <c r="AE2" s="4">
        <f>GVega(AB2,G2,(L2+1)/245,N2,O2,K2)/100*J2 </f>
        <v/>
      </c>
      <c r="AF2" s="4">
        <f>GTheta(I2,AB2,G2,(L2+1)/245,N2,O2,K2)/245*J2 </f>
        <v/>
      </c>
      <c r="AG2" s="4">
        <f>GRho(I2,AB2,G2,(L2+1)/245,N2,O2,K2)/100 </f>
        <v/>
      </c>
    </row>
    <row customHeight="1" ht="20" r="3" s="1" spans="1:33">
      <c r="A3" s="4" t="s">
        <v>9</v>
      </c>
      <c r="B3" s="8" t="s">
        <v>75</v>
      </c>
      <c r="C3" s="4" t="s">
        <v>31</v>
      </c>
      <c r="D3" s="4" t="s">
        <v>70</v>
      </c>
      <c r="E3" s="4" t="s">
        <v>71</v>
      </c>
      <c r="F3" s="4" t="n">
        <v>1000</v>
      </c>
      <c r="G3" s="4" t="n">
        <v>11000</v>
      </c>
      <c r="H3" s="4" t="n">
        <v>11770</v>
      </c>
      <c r="I3" s="4" t="s">
        <v>72</v>
      </c>
      <c r="J3" s="6" t="n">
        <v>1</v>
      </c>
      <c r="K3" s="7" t="n">
        <v>0.21</v>
      </c>
      <c r="L3" s="4" t="n">
        <v>71</v>
      </c>
      <c r="M3" s="4" t="s">
        <v>73</v>
      </c>
      <c r="N3" s="7" t="n">
        <v>0.045</v>
      </c>
      <c r="O3" s="4" t="n">
        <v>0</v>
      </c>
      <c r="P3" s="4" t="n">
        <v>12965</v>
      </c>
      <c r="Q3" s="4">
        <f>GDelta(I3,P3,G3,L3/245,N3,O3,K3)*J3 </f>
        <v/>
      </c>
      <c r="R3" s="4">
        <f>GGamma(P3,G3,L3/245,N3,O3,K3)*J3 </f>
        <v/>
      </c>
      <c r="S3" s="4">
        <f>GVega(P3,G3,L3/245,N3,O3,K3)/100*J3 </f>
        <v/>
      </c>
      <c r="T3" s="4">
        <f>GTheta(I3,P3,G3,L3/245,N3,O3,K3)/245*J3 </f>
        <v/>
      </c>
      <c r="U3" s="4">
        <f>GRho(I3,P3,G3,L3/245,N3,O3,K3)/100 </f>
        <v/>
      </c>
      <c r="V3" s="4">
        <f> Q3 * F3 * P3</f>
        <v/>
      </c>
      <c r="W3" s="4">
        <f> R3 * F3 * P3 * P3/100</f>
        <v/>
      </c>
      <c r="X3" s="4">
        <f> S3 * F3 </f>
        <v/>
      </c>
      <c r="Y3" s="4">
        <f> T3 * F3 </f>
        <v/>
      </c>
      <c r="Z3" s="4">
        <f> U3 * F3 </f>
        <v/>
      </c>
      <c r="AA3" s="4" t="s">
        <v>74</v>
      </c>
      <c r="AB3" s="4" t="n">
        <v>12970</v>
      </c>
      <c r="AC3" s="4">
        <f>GDelta(I3,AB3,G3,(L3+1)/245,N3,O3,K3)*J3 </f>
        <v/>
      </c>
      <c r="AD3" s="4">
        <f>GGamma(AB3,G3,(L3+1)/245,N3,O3,K3)*J3 </f>
        <v/>
      </c>
      <c r="AE3" s="4">
        <f>GVega(AB3,G3,(L3+1)/245,N3,O3,K3)/100*J3 </f>
        <v/>
      </c>
      <c r="AF3" s="4">
        <f>GTheta(I3,AB3,G3,(L3+1)/245,N3,O3,K3)/245*J3 </f>
        <v/>
      </c>
      <c r="AG3" s="4">
        <f>GRho(I3,AB3,G3,(L3+1)/245,N3,O3,K3)/100 </f>
        <v/>
      </c>
    </row>
    <row customHeight="1" ht="20" r="4" s="1" spans="1:33">
      <c r="A4" s="4" t="s">
        <v>9</v>
      </c>
      <c r="B4" s="8" t="s">
        <v>75</v>
      </c>
      <c r="C4" s="4" t="s">
        <v>31</v>
      </c>
      <c r="D4" s="4" t="s">
        <v>70</v>
      </c>
      <c r="E4" s="4" t="s">
        <v>71</v>
      </c>
      <c r="F4" s="4" t="n">
        <v>1000</v>
      </c>
      <c r="G4" s="4" t="n">
        <v>10500</v>
      </c>
      <c r="H4" s="4" t="n">
        <v>11735</v>
      </c>
      <c r="I4" s="4" t="s">
        <v>72</v>
      </c>
      <c r="J4" s="6" t="n">
        <v>1</v>
      </c>
      <c r="K4" s="7" t="n">
        <v>0.185</v>
      </c>
      <c r="L4" s="4" t="n">
        <v>71</v>
      </c>
      <c r="M4" s="4" t="s">
        <v>73</v>
      </c>
      <c r="N4" s="7" t="n">
        <v>0.045</v>
      </c>
      <c r="O4" s="4" t="n">
        <v>0</v>
      </c>
      <c r="P4" s="4" t="n">
        <v>12965</v>
      </c>
      <c r="Q4" s="4">
        <f>GDelta(I4,P4,G4,L4/245,N4,O4,K4)*J4 </f>
        <v/>
      </c>
      <c r="R4" s="4">
        <f>GGamma(P4,G4,L4/245,N4,O4,K4)*J4 </f>
        <v/>
      </c>
      <c r="S4" s="4">
        <f>GVega(P4,G4,L4/245,N4,O4,K4)/100*J4 </f>
        <v/>
      </c>
      <c r="T4" s="4">
        <f>GTheta(I4,P4,G4,L4/245,N4,O4,K4)/245*J4 </f>
        <v/>
      </c>
      <c r="U4" s="4">
        <f>GRho(I4,P4,G4,L4/245,N4,O4,K4)/100 </f>
        <v/>
      </c>
      <c r="V4" s="4">
        <f> Q4 * F4 * P4</f>
        <v/>
      </c>
      <c r="W4" s="4">
        <f> R4 * F4 * P4 * P4/100</f>
        <v/>
      </c>
      <c r="X4" s="4">
        <f> S4 * F4 </f>
        <v/>
      </c>
      <c r="Y4" s="4">
        <f> T4 * F4 </f>
        <v/>
      </c>
      <c r="Z4" s="4">
        <f> U4 * F4 </f>
        <v/>
      </c>
      <c r="AA4" s="4" t="s">
        <v>74</v>
      </c>
      <c r="AB4" s="4" t="n">
        <v>12970</v>
      </c>
      <c r="AC4" s="4">
        <f>GDelta(I4,AB4,G4,(L4+1)/245,N4,O4,K4)*J4 </f>
        <v/>
      </c>
      <c r="AD4" s="4">
        <f>GGamma(AB4,G4,(L4+1)/245,N4,O4,K4)*J4 </f>
        <v/>
      </c>
      <c r="AE4" s="4">
        <f>GVega(AB4,G4,(L4+1)/245,N4,O4,K4)/100*J4 </f>
        <v/>
      </c>
      <c r="AF4" s="4">
        <f>GTheta(I4,AB4,G4,(L4+1)/245,N4,O4,K4)/245*J4 </f>
        <v/>
      </c>
      <c r="AG4" s="4">
        <f>GRho(I4,AB4,G4,(L4+1)/245,N4,O4,K4)/100 </f>
        <v/>
      </c>
    </row>
    <row customHeight="1" ht="20" r="5" s="1" spans="1:33">
      <c r="A5" s="4" t="s">
        <v>9</v>
      </c>
      <c r="B5" s="8" t="s">
        <v>76</v>
      </c>
      <c r="C5" s="4" t="s">
        <v>32</v>
      </c>
      <c r="D5" s="4" t="s">
        <v>77</v>
      </c>
      <c r="E5" s="4" t="s">
        <v>78</v>
      </c>
      <c r="F5" s="4" t="n">
        <v>1500</v>
      </c>
      <c r="G5" s="4" t="n">
        <v>2916</v>
      </c>
      <c r="H5" s="4" t="n">
        <v>2916</v>
      </c>
      <c r="I5" s="4" t="s">
        <v>79</v>
      </c>
      <c r="J5" s="6" t="n">
        <v>-1</v>
      </c>
      <c r="K5" s="7" t="n">
        <v>0.242</v>
      </c>
      <c r="L5" s="4" t="n">
        <v>12</v>
      </c>
      <c r="M5" s="4" t="s">
        <v>73</v>
      </c>
      <c r="N5" s="7" t="n">
        <v>0.045</v>
      </c>
      <c r="O5" s="4" t="n">
        <v>0</v>
      </c>
      <c r="P5" s="4" t="n">
        <v>3202</v>
      </c>
      <c r="Q5" s="4">
        <f>GDelta(I5,P5,G5,L5/245,N5,O5,K5)*J5 </f>
        <v/>
      </c>
      <c r="R5" s="4">
        <f>GGamma(P5,G5,L5/245,N5,O5,K5)*J5 </f>
        <v/>
      </c>
      <c r="S5" s="4">
        <f>GVega(P5,G5,L5/245,N5,O5,K5)/100*J5 </f>
        <v/>
      </c>
      <c r="T5" s="4">
        <f>GTheta(I5,P5,G5,L5/245,N5,O5,K5)/245*J5 </f>
        <v/>
      </c>
      <c r="U5" s="4">
        <f>GRho(I5,P5,G5,L5/245,N5,O5,K5)/100 </f>
        <v/>
      </c>
      <c r="V5" s="4">
        <f> Q5 * F5 * P5</f>
        <v/>
      </c>
      <c r="W5" s="4">
        <f> R5 * F5 * P5 * P5/100</f>
        <v/>
      </c>
      <c r="X5" s="4">
        <f> S5 * F5 </f>
        <v/>
      </c>
      <c r="Y5" s="4">
        <f> T5 * F5 </f>
        <v/>
      </c>
      <c r="Z5" s="4">
        <f> U5 * F5 </f>
        <v/>
      </c>
      <c r="AA5" s="4" t="s">
        <v>74</v>
      </c>
      <c r="AB5" s="4" t="n">
        <v>3212</v>
      </c>
      <c r="AC5" s="4">
        <f>GDelta(I5,AB5,G5,(L5+1)/245,N5,O5,K5)*J5 </f>
        <v/>
      </c>
      <c r="AD5" s="4">
        <f>GGamma(AB5,G5,(L5+1)/245,N5,O5,K5)*J5 </f>
        <v/>
      </c>
      <c r="AE5" s="4">
        <f>GVega(AB5,G5,(L5+1)/245,N5,O5,K5)/100*J5 </f>
        <v/>
      </c>
      <c r="AF5" s="4">
        <f>GTheta(I5,AB5,G5,(L5+1)/245,N5,O5,K5)/245*J5 </f>
        <v/>
      </c>
      <c r="AG5" s="4">
        <f>GRho(I5,AB5,G5,(L5+1)/245,N5,O5,K5)/100 </f>
        <v/>
      </c>
    </row>
    <row customHeight="1" ht="20" r="6" s="1" spans="1:33">
      <c r="A6" s="4" t="s">
        <v>9</v>
      </c>
      <c r="B6" s="8" t="s">
        <v>76</v>
      </c>
      <c r="C6" s="4" t="s">
        <v>32</v>
      </c>
      <c r="D6" s="4" t="s">
        <v>77</v>
      </c>
      <c r="E6" s="4" t="s">
        <v>80</v>
      </c>
      <c r="F6" s="4" t="n">
        <v>1500</v>
      </c>
      <c r="G6" s="4" t="n">
        <v>2916</v>
      </c>
      <c r="H6" s="4" t="n">
        <v>2916</v>
      </c>
      <c r="I6" s="4" t="s">
        <v>72</v>
      </c>
      <c r="J6" s="6" t="n">
        <v>-1</v>
      </c>
      <c r="K6" s="7" t="n">
        <v>0.242</v>
      </c>
      <c r="L6" s="4" t="n">
        <v>12</v>
      </c>
      <c r="M6" s="4" t="s">
        <v>73</v>
      </c>
      <c r="N6" s="7" t="n">
        <v>0.045</v>
      </c>
      <c r="O6" s="4" t="n">
        <v>0</v>
      </c>
      <c r="P6" s="4" t="n">
        <v>3202</v>
      </c>
      <c r="Q6" s="4">
        <f>GDelta(I6,P6,G6,L6/245,N6,O6,K6)*J6 </f>
        <v/>
      </c>
      <c r="R6" s="4">
        <f>GGamma(P6,G6,L6/245,N6,O6,K6)*J6 </f>
        <v/>
      </c>
      <c r="S6" s="4">
        <f>GVega(P6,G6,L6/245,N6,O6,K6)/100*J6 </f>
        <v/>
      </c>
      <c r="T6" s="4">
        <f>GTheta(I6,P6,G6,L6/245,N6,O6,K6)/245*J6 </f>
        <v/>
      </c>
      <c r="U6" s="4">
        <f>GRho(I6,P6,G6,L6/245,N6,O6,K6)/100 </f>
        <v/>
      </c>
      <c r="V6" s="4">
        <f> Q6 * F6 * P6</f>
        <v/>
      </c>
      <c r="W6" s="4">
        <f> R6 * F6 * P6 * P6/100</f>
        <v/>
      </c>
      <c r="X6" s="4">
        <f> S6 * F6 </f>
        <v/>
      </c>
      <c r="Y6" s="4">
        <f> T6 * F6 </f>
        <v/>
      </c>
      <c r="Z6" s="4">
        <f> U6 * F6 </f>
        <v/>
      </c>
      <c r="AA6" s="4" t="s">
        <v>74</v>
      </c>
      <c r="AB6" s="4" t="n">
        <v>3212</v>
      </c>
      <c r="AC6" s="4">
        <f>GDelta(I6,AB6,G6,(L6+1)/245,N6,O6,K6)*J6 </f>
        <v/>
      </c>
      <c r="AD6" s="4">
        <f>GGamma(AB6,G6,(L6+1)/245,N6,O6,K6)*J6 </f>
        <v/>
      </c>
      <c r="AE6" s="4">
        <f>GVega(AB6,G6,(L6+1)/245,N6,O6,K6)/100*J6 </f>
        <v/>
      </c>
      <c r="AF6" s="4">
        <f>GTheta(I6,AB6,G6,(L6+1)/245,N6,O6,K6)/245*J6 </f>
        <v/>
      </c>
      <c r="AG6" s="4">
        <f>GRho(I6,AB6,G6,(L6+1)/245,N6,O6,K6)/100 </f>
        <v/>
      </c>
    </row>
    <row customHeight="1" ht="20" r="7" s="1" spans="1:33">
      <c r="A7" s="4" t="s">
        <v>9</v>
      </c>
      <c r="B7" s="8" t="s">
        <v>69</v>
      </c>
      <c r="C7" s="4" t="s">
        <v>32</v>
      </c>
      <c r="D7" s="4" t="s">
        <v>70</v>
      </c>
      <c r="E7" s="4" t="s">
        <v>81</v>
      </c>
      <c r="F7" s="4" t="n">
        <v>1500</v>
      </c>
      <c r="G7" s="4" t="n">
        <v>2916</v>
      </c>
      <c r="H7" s="4" t="n">
        <v>2916</v>
      </c>
      <c r="I7" s="4" t="s">
        <v>79</v>
      </c>
      <c r="J7" s="6" t="n">
        <v>1</v>
      </c>
      <c r="K7" s="7" t="n">
        <v>0.233</v>
      </c>
      <c r="L7" s="4" t="n">
        <v>12</v>
      </c>
      <c r="M7" s="4" t="s">
        <v>73</v>
      </c>
      <c r="N7" s="7" t="n">
        <v>0.045</v>
      </c>
      <c r="O7" s="4" t="n">
        <v>0</v>
      </c>
      <c r="P7" s="4" t="n">
        <v>3202</v>
      </c>
      <c r="Q7" s="4">
        <f>GDelta(I7,P7,G7,L7/245,N7,O7,K7)*J7 </f>
        <v/>
      </c>
      <c r="R7" s="4">
        <f>GGamma(P7,G7,L7/245,N7,O7,K7)*J7 </f>
        <v/>
      </c>
      <c r="S7" s="4">
        <f>GVega(P7,G7,L7/245,N7,O7,K7)/100*J7 </f>
        <v/>
      </c>
      <c r="T7" s="4">
        <f>GTheta(I7,P7,G7,L7/245,N7,O7,K7)/245*J7 </f>
        <v/>
      </c>
      <c r="U7" s="4">
        <f>GRho(I7,P7,G7,L7/245,N7,O7,K7)/100 </f>
        <v/>
      </c>
      <c r="V7" s="4">
        <f> Q7 * F7 * P7</f>
        <v/>
      </c>
      <c r="W7" s="4">
        <f> R7 * F7 * P7 * P7/100</f>
        <v/>
      </c>
      <c r="X7" s="4">
        <f> S7 * F7 </f>
        <v/>
      </c>
      <c r="Y7" s="4">
        <f> T7 * F7 </f>
        <v/>
      </c>
      <c r="Z7" s="4">
        <f> U7 * F7 </f>
        <v/>
      </c>
      <c r="AA7" s="4" t="s">
        <v>74</v>
      </c>
      <c r="AB7" s="4" t="n">
        <v>3212</v>
      </c>
      <c r="AC7" s="4">
        <f>GDelta(I7,AB7,G7,(L7+1)/245,N7,O7,K7)*J7 </f>
        <v/>
      </c>
      <c r="AD7" s="4">
        <f>GGamma(AB7,G7,(L7+1)/245,N7,O7,K7)*J7 </f>
        <v/>
      </c>
      <c r="AE7" s="4">
        <f>GVega(AB7,G7,(L7+1)/245,N7,O7,K7)/100*J7 </f>
        <v/>
      </c>
      <c r="AF7" s="4">
        <f>GTheta(I7,AB7,G7,(L7+1)/245,N7,O7,K7)/245*J7 </f>
        <v/>
      </c>
      <c r="AG7" s="4">
        <f>GRho(I7,AB7,G7,(L7+1)/245,N7,O7,K7)/100 </f>
        <v/>
      </c>
    </row>
    <row customHeight="1" ht="20" r="8" s="1" spans="1:33">
      <c r="A8" s="4" t="s">
        <v>9</v>
      </c>
      <c r="B8" s="8" t="s">
        <v>69</v>
      </c>
      <c r="C8" s="4" t="s">
        <v>32</v>
      </c>
      <c r="D8" s="4" t="s">
        <v>70</v>
      </c>
      <c r="E8" s="4" t="s">
        <v>71</v>
      </c>
      <c r="F8" s="4" t="n">
        <v>1500</v>
      </c>
      <c r="G8" s="4" t="n">
        <v>2916</v>
      </c>
      <c r="H8" s="4" t="n">
        <v>2916</v>
      </c>
      <c r="I8" s="4" t="s">
        <v>72</v>
      </c>
      <c r="J8" s="6" t="n">
        <v>1</v>
      </c>
      <c r="K8" s="7" t="n">
        <v>0.233</v>
      </c>
      <c r="L8" s="4" t="n">
        <v>12</v>
      </c>
      <c r="M8" s="4" t="s">
        <v>73</v>
      </c>
      <c r="N8" s="7" t="n">
        <v>0.045</v>
      </c>
      <c r="O8" s="4" t="n">
        <v>0</v>
      </c>
      <c r="P8" s="4" t="n">
        <v>3202</v>
      </c>
      <c r="Q8" s="4">
        <f>GDelta(I8,P8,G8,L8/245,N8,O8,K8)*J8 </f>
        <v/>
      </c>
      <c r="R8" s="4">
        <f>GGamma(P8,G8,L8/245,N8,O8,K8)*J8 </f>
        <v/>
      </c>
      <c r="S8" s="4">
        <f>GVega(P8,G8,L8/245,N8,O8,K8)/100*J8 </f>
        <v/>
      </c>
      <c r="T8" s="4">
        <f>GTheta(I8,P8,G8,L8/245,N8,O8,K8)/245*J8 </f>
        <v/>
      </c>
      <c r="U8" s="4">
        <f>GRho(I8,P8,G8,L8/245,N8,O8,K8)/100 </f>
        <v/>
      </c>
      <c r="V8" s="4">
        <f> Q8 * F8 * P8</f>
        <v/>
      </c>
      <c r="W8" s="4">
        <f> R8 * F8 * P8 * P8/100</f>
        <v/>
      </c>
      <c r="X8" s="4">
        <f> S8 * F8 </f>
        <v/>
      </c>
      <c r="Y8" s="4">
        <f> T8 * F8 </f>
        <v/>
      </c>
      <c r="Z8" s="4">
        <f> U8 * F8 </f>
        <v/>
      </c>
      <c r="AA8" s="4" t="s">
        <v>74</v>
      </c>
      <c r="AB8" s="4" t="n">
        <v>3212</v>
      </c>
      <c r="AC8" s="4">
        <f>GDelta(I8,AB8,G8,(L8+1)/245,N8,O8,K8)*J8 </f>
        <v/>
      </c>
      <c r="AD8" s="4">
        <f>GGamma(AB8,G8,(L8+1)/245,N8,O8,K8)*J8 </f>
        <v/>
      </c>
      <c r="AE8" s="4">
        <f>GVega(AB8,G8,(L8+1)/245,N8,O8,K8)/100*J8 </f>
        <v/>
      </c>
      <c r="AF8" s="4">
        <f>GTheta(I8,AB8,G8,(L8+1)/245,N8,O8,K8)/245*J8 </f>
        <v/>
      </c>
      <c r="AG8" s="4">
        <f>GRho(I8,AB8,G8,(L8+1)/245,N8,O8,K8)/100 </f>
        <v/>
      </c>
    </row>
    <row customHeight="1" ht="20" r="9" s="1" spans="1:33">
      <c r="A9" s="9" t="s">
        <v>9</v>
      </c>
      <c r="B9" s="9" t="s">
        <v>82</v>
      </c>
      <c r="C9" s="9" t="s">
        <v>33</v>
      </c>
      <c r="D9" s="9" t="s">
        <v>70</v>
      </c>
      <c r="E9" s="9" t="s">
        <v>83</v>
      </c>
      <c r="F9" s="9" t="n"/>
      <c r="G9" s="9" t="n"/>
      <c r="H9" s="9" t="n">
        <v>13825</v>
      </c>
      <c r="I9" s="9" t="s">
        <v>72</v>
      </c>
      <c r="J9" s="10" t="n">
        <v>1</v>
      </c>
      <c r="K9" s="11" t="n"/>
      <c r="L9" s="9" t="n">
        <v>23</v>
      </c>
      <c r="M9" s="9" t="s">
        <v>73</v>
      </c>
      <c r="N9" s="11" t="n">
        <v>0.045</v>
      </c>
      <c r="O9" s="9" t="n">
        <v>0</v>
      </c>
      <c r="P9" s="9" t="n">
        <v>14055</v>
      </c>
      <c r="Q9" s="9">
        <f>GDelta(I9,P9,G9,L9/245,N9,O9,K9)*J9 </f>
        <v/>
      </c>
      <c r="R9" s="9">
        <f>GGamma(P9,G9,L9/245,N9,O9,K9)*J9 </f>
        <v/>
      </c>
      <c r="S9" s="9">
        <f>GVega(P9,G9,L9/245,N9,O9,K9)/100*J9 </f>
        <v/>
      </c>
      <c r="T9" s="9">
        <f>GTheta(I9,P9,G9,L9/245,N9,O9,K9)/245*J9 </f>
        <v/>
      </c>
      <c r="U9" s="9">
        <f>GRho(I9,P9,G9,L9/245,N9,O9,K9)/100 </f>
        <v/>
      </c>
      <c r="V9" s="9">
        <f> Q9 * F9 * P9</f>
        <v/>
      </c>
      <c r="W9" s="9">
        <f> R9 * F9 * P9 * P9/100</f>
        <v/>
      </c>
      <c r="X9" s="9">
        <f> S9 * F9 </f>
        <v/>
      </c>
      <c r="Y9" s="9">
        <f> T9 * F9 </f>
        <v/>
      </c>
      <c r="Z9" s="9">
        <f> U9 * F9 </f>
        <v/>
      </c>
      <c r="AA9" s="9" t="s">
        <v>74</v>
      </c>
      <c r="AB9" s="9" t="n">
        <v>14040</v>
      </c>
      <c r="AC9" s="9">
        <f>GDelta(I9,AB9,G9,(L9+1)/245,N9,O9,K9)*J9 </f>
        <v/>
      </c>
      <c r="AD9" s="9">
        <f>GGamma(AB9,G9,(L9+1)/245,N9,O9,K9)*J9 </f>
        <v/>
      </c>
      <c r="AE9" s="9">
        <f>GVega(AB9,G9,(L9+1)/245,N9,O9,K9)/100*J9 </f>
        <v/>
      </c>
      <c r="AF9" s="9">
        <f>GTheta(I9,AB9,G9,(L9+1)/245,N9,O9,K9)/245*J9 </f>
        <v/>
      </c>
      <c r="AG9" s="9">
        <f>GRho(I9,AB9,G9,(L9+1)/245,N9,O9,K9)/100 </f>
        <v/>
      </c>
    </row>
    <row customHeight="1" ht="20" r="10" s="1" spans="1:33">
      <c r="A10" s="9" t="s">
        <v>9</v>
      </c>
      <c r="B10" s="9" t="s">
        <v>82</v>
      </c>
      <c r="C10" s="9" t="s">
        <v>34</v>
      </c>
      <c r="D10" s="9" t="s">
        <v>77</v>
      </c>
      <c r="E10" s="9" t="s">
        <v>83</v>
      </c>
      <c r="F10" s="9" t="n"/>
      <c r="G10" s="9" t="n"/>
      <c r="H10" s="9" t="n">
        <v>13845</v>
      </c>
      <c r="I10" s="9" t="s">
        <v>72</v>
      </c>
      <c r="J10" s="10" t="n">
        <v>-1</v>
      </c>
      <c r="K10" s="11" t="n"/>
      <c r="L10" s="9" t="n">
        <v>23</v>
      </c>
      <c r="M10" s="9" t="s">
        <v>73</v>
      </c>
      <c r="N10" s="11" t="n">
        <v>0.045</v>
      </c>
      <c r="O10" s="9" t="n">
        <v>0</v>
      </c>
      <c r="P10" s="9" t="n">
        <v>14020</v>
      </c>
      <c r="Q10" s="9">
        <f>GDelta(I10,P10,G10,L10/245,N10,O10,K10)*J10 </f>
        <v/>
      </c>
      <c r="R10" s="9">
        <f>GGamma(P10,G10,L10/245,N10,O10,K10)*J10 </f>
        <v/>
      </c>
      <c r="S10" s="9">
        <f>GVega(P10,G10,L10/245,N10,O10,K10)/100*J10 </f>
        <v/>
      </c>
      <c r="T10" s="9">
        <f>GTheta(I10,P10,G10,L10/245,N10,O10,K10)/245*J10 </f>
        <v/>
      </c>
      <c r="U10" s="9">
        <f>GRho(I10,P10,G10,L10/245,N10,O10,K10)/100 </f>
        <v/>
      </c>
      <c r="V10" s="9">
        <f> Q10 * F10 * P10</f>
        <v/>
      </c>
      <c r="W10" s="9">
        <f> R10 * F10 * P10 * P10/100</f>
        <v/>
      </c>
      <c r="X10" s="9">
        <f> S10 * F10 </f>
        <v/>
      </c>
      <c r="Y10" s="9">
        <f> T10 * F10 </f>
        <v/>
      </c>
      <c r="Z10" s="9">
        <f> U10 * F10 </f>
        <v/>
      </c>
      <c r="AA10" s="9" t="s">
        <v>74</v>
      </c>
      <c r="AB10" s="9" t="n">
        <v>14020</v>
      </c>
      <c r="AC10" s="9">
        <f>GDelta(I10,AB10,G10,(L10+1)/245,N10,O10,K10)*J10 </f>
        <v/>
      </c>
      <c r="AD10" s="9">
        <f>GGamma(AB10,G10,(L10+1)/245,N10,O10,K10)*J10 </f>
        <v/>
      </c>
      <c r="AE10" s="9">
        <f>GVega(AB10,G10,(L10+1)/245,N10,O10,K10)/100*J10 </f>
        <v/>
      </c>
      <c r="AF10" s="9">
        <f>GTheta(I10,AB10,G10,(L10+1)/245,N10,O10,K10)/245*J10 </f>
        <v/>
      </c>
      <c r="AG10" s="9">
        <f>GRho(I10,AB10,G10,(L10+1)/245,N10,O10,K10)/100 </f>
        <v/>
      </c>
    </row>
    <row customHeight="1" ht="20" r="11" s="1" spans="1:33">
      <c r="A11" s="4" t="s">
        <v>9</v>
      </c>
      <c r="B11" s="8" t="s">
        <v>75</v>
      </c>
      <c r="C11" s="4" t="s">
        <v>31</v>
      </c>
      <c r="D11" s="4" t="s">
        <v>70</v>
      </c>
      <c r="E11" s="4" t="s">
        <v>71</v>
      </c>
      <c r="F11" s="4" t="n">
        <v>1000</v>
      </c>
      <c r="G11" s="4" t="n">
        <v>11200</v>
      </c>
      <c r="H11" s="4" t="n">
        <v>12105</v>
      </c>
      <c r="I11" s="4" t="s">
        <v>72</v>
      </c>
      <c r="J11" s="6" t="n">
        <v>1</v>
      </c>
      <c r="K11" s="7" t="n">
        <v>0.172</v>
      </c>
      <c r="L11" s="4" t="n">
        <v>71</v>
      </c>
      <c r="M11" s="4" t="s">
        <v>73</v>
      </c>
      <c r="N11" s="7" t="n">
        <v>0.045</v>
      </c>
      <c r="O11" s="4" t="n">
        <v>0</v>
      </c>
      <c r="P11" s="4" t="n">
        <v>12965</v>
      </c>
      <c r="Q11" s="4">
        <f>GDelta(I11,P11,G11,L11/245,N11,O11,K11)*J11 </f>
        <v/>
      </c>
      <c r="R11" s="4">
        <f>GGamma(P11,G11,L11/245,N11,O11,K11)*J11 </f>
        <v/>
      </c>
      <c r="S11" s="4">
        <f>GVega(P11,G11,L11/245,N11,O11,K11)/100*J11 </f>
        <v/>
      </c>
      <c r="T11" s="4">
        <f>GTheta(I11,P11,G11,L11/245,N11,O11,K11)/245*J11 </f>
        <v/>
      </c>
      <c r="U11" s="4">
        <f>GRho(I11,P11,G11,L11/245,N11,O11,K11)/100 </f>
        <v/>
      </c>
      <c r="V11" s="4">
        <f> Q11 * F11 * P11</f>
        <v/>
      </c>
      <c r="W11" s="4">
        <f> R11 * F11 * P11 * P11/100</f>
        <v/>
      </c>
      <c r="X11" s="4">
        <f> S11 * F11 </f>
        <v/>
      </c>
      <c r="Y11" s="4">
        <f> T11 * F11 </f>
        <v/>
      </c>
      <c r="Z11" s="4">
        <f> U11 * F11 </f>
        <v/>
      </c>
      <c r="AA11" s="4" t="s">
        <v>74</v>
      </c>
      <c r="AB11" s="4" t="n">
        <v>12970</v>
      </c>
      <c r="AC11" s="4">
        <f>GDelta(I11,AB11,G11,(L11+1)/245,N11,O11,K11)*J11 </f>
        <v/>
      </c>
      <c r="AD11" s="4">
        <f>GGamma(AB11,G11,(L11+1)/245,N11,O11,K11)*J11 </f>
        <v/>
      </c>
      <c r="AE11" s="4">
        <f>GVega(AB11,G11,(L11+1)/245,N11,O11,K11)/100*J11 </f>
        <v/>
      </c>
      <c r="AF11" s="4">
        <f>GTheta(I11,AB11,G11,(L11+1)/245,N11,O11,K11)/245*J11 </f>
        <v/>
      </c>
      <c r="AG11" s="4">
        <f>GRho(I11,AB11,G11,(L11+1)/245,N11,O11,K11)/100 </f>
        <v/>
      </c>
    </row>
    <row customHeight="1" ht="20" r="12" s="1" spans="1:33">
      <c r="A12" s="4" t="s">
        <v>9</v>
      </c>
      <c r="B12" s="8" t="s">
        <v>84</v>
      </c>
      <c r="C12" s="4" t="s">
        <v>32</v>
      </c>
      <c r="D12" s="4" t="s">
        <v>70</v>
      </c>
      <c r="E12" s="4" t="s">
        <v>81</v>
      </c>
      <c r="F12" s="4" t="n">
        <v>1500</v>
      </c>
      <c r="G12" s="4" t="n">
        <v>2948.4</v>
      </c>
      <c r="H12" s="4" t="n">
        <v>2808</v>
      </c>
      <c r="I12" s="4" t="s">
        <v>79</v>
      </c>
      <c r="J12" s="6" t="n">
        <v>1</v>
      </c>
      <c r="K12" s="7" t="n">
        <v>0.233</v>
      </c>
      <c r="L12" s="4" t="n">
        <v>46</v>
      </c>
      <c r="M12" s="4" t="s">
        <v>73</v>
      </c>
      <c r="N12" s="7" t="n">
        <v>0.045</v>
      </c>
      <c r="O12" s="4" t="n">
        <v>0</v>
      </c>
      <c r="P12" s="4" t="n">
        <v>3202</v>
      </c>
      <c r="Q12" s="4">
        <f>GDelta(I12,P12,G12,L12/245,N12,O12,K12)*J12 </f>
        <v/>
      </c>
      <c r="R12" s="4">
        <f>GGamma(P12,G12,L12/245,N12,O12,K12)*J12 </f>
        <v/>
      </c>
      <c r="S12" s="4">
        <f>GVega(P12,G12,L12/245,N12,O12,K12)/100*J12 </f>
        <v/>
      </c>
      <c r="T12" s="4">
        <f>GTheta(I12,P12,G12,L12/245,N12,O12,K12)/245*J12 </f>
        <v/>
      </c>
      <c r="U12" s="4">
        <f>GRho(I12,P12,G12,L12/245,N12,O12,K12)/100 </f>
        <v/>
      </c>
      <c r="V12" s="4">
        <f> Q12 * F12 * P12</f>
        <v/>
      </c>
      <c r="W12" s="4">
        <f> R12 * F12 * P12 * P12/100</f>
        <v/>
      </c>
      <c r="X12" s="4">
        <f> S12 * F12 </f>
        <v/>
      </c>
      <c r="Y12" s="4">
        <f> T12 * F12 </f>
        <v/>
      </c>
      <c r="Z12" s="4">
        <f> U12 * F12 </f>
        <v/>
      </c>
      <c r="AA12" s="4" t="s">
        <v>74</v>
      </c>
      <c r="AB12" s="4" t="n">
        <v>3212</v>
      </c>
      <c r="AC12" s="4">
        <f>GDelta(I12,AB12,G12,(L12+1)/245,N12,O12,K12)*J12 </f>
        <v/>
      </c>
      <c r="AD12" s="4">
        <f>GGamma(AB12,G12,(L12+1)/245,N12,O12,K12)*J12 </f>
        <v/>
      </c>
      <c r="AE12" s="4">
        <f>GVega(AB12,G12,(L12+1)/245,N12,O12,K12)/100*J12 </f>
        <v/>
      </c>
      <c r="AF12" s="4">
        <f>GTheta(I12,AB12,G12,(L12+1)/245,N12,O12,K12)/245*J12 </f>
        <v/>
      </c>
      <c r="AG12" s="4">
        <f>GRho(I12,AB12,G12,(L12+1)/245,N12,O12,K12)/100 </f>
        <v/>
      </c>
    </row>
    <row customHeight="1" ht="20" r="13" s="1" spans="1:33">
      <c r="A13" s="4" t="s">
        <v>9</v>
      </c>
      <c r="B13" s="8" t="s">
        <v>84</v>
      </c>
      <c r="C13" s="4" t="s">
        <v>32</v>
      </c>
      <c r="D13" s="4" t="s">
        <v>70</v>
      </c>
      <c r="E13" s="4" t="s">
        <v>71</v>
      </c>
      <c r="F13" s="4" t="n">
        <v>1500</v>
      </c>
      <c r="G13" s="4" t="n">
        <v>2667.6</v>
      </c>
      <c r="H13" s="4" t="n">
        <v>2808</v>
      </c>
      <c r="I13" s="4" t="s">
        <v>72</v>
      </c>
      <c r="J13" s="6" t="n">
        <v>1</v>
      </c>
      <c r="K13" s="7" t="n">
        <v>0.233</v>
      </c>
      <c r="L13" s="4" t="n">
        <v>46</v>
      </c>
      <c r="M13" s="4" t="s">
        <v>73</v>
      </c>
      <c r="N13" s="7" t="n">
        <v>0.045</v>
      </c>
      <c r="O13" s="4" t="n">
        <v>0</v>
      </c>
      <c r="P13" s="4" t="n">
        <v>3202</v>
      </c>
      <c r="Q13" s="4">
        <f>GDelta(I13,P13,G13,L13/245,N13,O13,K13)*J13 </f>
        <v/>
      </c>
      <c r="R13" s="4">
        <f>GGamma(P13,G13,L13/245,N13,O13,K13)*J13 </f>
        <v/>
      </c>
      <c r="S13" s="4">
        <f>GVega(P13,G13,L13/245,N13,O13,K13)/100*J13 </f>
        <v/>
      </c>
      <c r="T13" s="4">
        <f>GTheta(I13,P13,G13,L13/245,N13,O13,K13)/245*J13 </f>
        <v/>
      </c>
      <c r="U13" s="4">
        <f>GRho(I13,P13,G13,L13/245,N13,O13,K13)/100 </f>
        <v/>
      </c>
      <c r="V13" s="4">
        <f> Q13 * F13 * P13</f>
        <v/>
      </c>
      <c r="W13" s="4">
        <f> R13 * F13 * P13 * P13/100</f>
        <v/>
      </c>
      <c r="X13" s="4">
        <f> S13 * F13 </f>
        <v/>
      </c>
      <c r="Y13" s="4">
        <f> T13 * F13 </f>
        <v/>
      </c>
      <c r="Z13" s="4">
        <f> U13 * F13 </f>
        <v/>
      </c>
      <c r="AA13" s="4" t="s">
        <v>74</v>
      </c>
      <c r="AB13" s="4" t="n">
        <v>3212</v>
      </c>
      <c r="AC13" s="4">
        <f>GDelta(I13,AB13,G13,(L13+1)/245,N13,O13,K13)*J13 </f>
        <v/>
      </c>
      <c r="AD13" s="4">
        <f>GGamma(AB13,G13,(L13+1)/245,N13,O13,K13)*J13 </f>
        <v/>
      </c>
      <c r="AE13" s="4">
        <f>GVega(AB13,G13,(L13+1)/245,N13,O13,K13)/100*J13 </f>
        <v/>
      </c>
      <c r="AF13" s="4">
        <f>GTheta(I13,AB13,G13,(L13+1)/245,N13,O13,K13)/245*J13 </f>
        <v/>
      </c>
      <c r="AG13" s="4">
        <f>GRho(I13,AB13,G13,(L13+1)/245,N13,O13,K13)/100 </f>
        <v/>
      </c>
    </row>
    <row customHeight="1" ht="20" r="14" s="1" spans="1:33">
      <c r="A14" s="4" t="s">
        <v>10</v>
      </c>
      <c r="B14" s="12" t="s">
        <v>85</v>
      </c>
      <c r="C14" s="4" t="s">
        <v>37</v>
      </c>
      <c r="D14" s="4" t="s">
        <v>70</v>
      </c>
      <c r="E14" s="4" t="s">
        <v>71</v>
      </c>
      <c r="F14" s="4" t="n">
        <v>2000</v>
      </c>
      <c r="G14" s="4" t="n">
        <v>3320</v>
      </c>
      <c r="H14" s="4" t="n">
        <v>3425</v>
      </c>
      <c r="I14" s="4" t="s">
        <v>72</v>
      </c>
      <c r="J14" s="6" t="n">
        <v>1</v>
      </c>
      <c r="K14" s="7" t="n">
        <v>0.16</v>
      </c>
      <c r="L14" s="4" t="n">
        <v>12</v>
      </c>
      <c r="M14" s="4" t="s">
        <v>73</v>
      </c>
      <c r="N14" s="7" t="n">
        <v>0.045</v>
      </c>
      <c r="O14" s="4" t="n">
        <v>0</v>
      </c>
      <c r="P14" s="4" t="n">
        <v>3563</v>
      </c>
      <c r="Q14" s="4">
        <f>GDelta(I14,P14,G14,L14/245,N14,O14,K14)*J14 </f>
        <v/>
      </c>
      <c r="R14" s="4">
        <f>GGamma(P14,G14,L14/245,N14,O14,K14)*J14 </f>
        <v/>
      </c>
      <c r="S14" s="4">
        <f>GVega(P14,G14,L14/245,N14,O14,K14)/100*J14 </f>
        <v/>
      </c>
      <c r="T14" s="4">
        <f>GTheta(I14,P14,G14,L14/245,N14,O14,K14)/245*J14 </f>
        <v/>
      </c>
      <c r="U14" s="4">
        <f>GRho(I14,P14,G14,L14/245,N14,O14,K14)/100 </f>
        <v/>
      </c>
      <c r="V14" s="4">
        <f> Q14 * F14 * P14</f>
        <v/>
      </c>
      <c r="W14" s="4">
        <f> R14 * F14 * P14 * P14/100</f>
        <v/>
      </c>
      <c r="X14" s="4">
        <f> S14 * F14 </f>
        <v/>
      </c>
      <c r="Y14" s="4">
        <f> T14 * F14 </f>
        <v/>
      </c>
      <c r="Z14" s="4">
        <f> U14 * F14 </f>
        <v/>
      </c>
      <c r="AA14" s="4" t="s">
        <v>74</v>
      </c>
      <c r="AB14" s="4" t="n">
        <v>3558</v>
      </c>
      <c r="AC14" s="4">
        <f>GDelta(I14,AB14,G14,(L14+1)/245,N14,O14,K14)*J14 </f>
        <v/>
      </c>
      <c r="AD14" s="4">
        <f>GGamma(AB14,G14,(L14+1)/245,N14,O14,K14)*J14 </f>
        <v/>
      </c>
      <c r="AE14" s="4">
        <f>GVega(AB14,G14,(L14+1)/245,N14,O14,K14)/100*J14 </f>
        <v/>
      </c>
      <c r="AF14" s="4">
        <f>GTheta(I14,AB14,G14,(L14+1)/245,N14,O14,K14)/245*J14 </f>
        <v/>
      </c>
      <c r="AG14" s="4">
        <f>GRho(I14,AB14,G14,(L14+1)/245,N14,O14,K14)/100 </f>
        <v/>
      </c>
    </row>
    <row customHeight="1" ht="20" r="15" s="1" spans="1:33">
      <c r="A15" s="4" t="s">
        <v>10</v>
      </c>
      <c r="B15" s="12" t="s">
        <v>76</v>
      </c>
      <c r="C15" s="4" t="s">
        <v>37</v>
      </c>
      <c r="D15" s="4" t="s">
        <v>77</v>
      </c>
      <c r="E15" s="4" t="s">
        <v>80</v>
      </c>
      <c r="F15" s="4" t="n">
        <v>2000</v>
      </c>
      <c r="G15" s="4" t="n">
        <v>3433</v>
      </c>
      <c r="H15" s="4" t="n">
        <v>3433</v>
      </c>
      <c r="I15" s="4" t="s">
        <v>72</v>
      </c>
      <c r="J15" s="6" t="n">
        <v>-1</v>
      </c>
      <c r="K15" s="7" t="n">
        <v>0.1685</v>
      </c>
      <c r="L15" s="4" t="n">
        <v>12</v>
      </c>
      <c r="M15" s="4" t="s">
        <v>73</v>
      </c>
      <c r="N15" s="7" t="n">
        <v>0.045</v>
      </c>
      <c r="O15" s="4" t="n">
        <v>0</v>
      </c>
      <c r="P15" s="4" t="n">
        <v>3563</v>
      </c>
      <c r="Q15" s="4">
        <f>GDelta(I15,P15,G15,L15/245,N15,O15,K15)*J15 </f>
        <v/>
      </c>
      <c r="R15" s="4">
        <f>GGamma(P15,G15,L15/245,N15,O15,K15)*J15 </f>
        <v/>
      </c>
      <c r="S15" s="4">
        <f>GVega(P15,G15,L15/245,N15,O15,K15)/100*J15 </f>
        <v/>
      </c>
      <c r="T15" s="4">
        <f>GTheta(I15,P15,G15,L15/245,N15,O15,K15)/245*J15 </f>
        <v/>
      </c>
      <c r="U15" s="4">
        <f>GRho(I15,P15,G15,L15/245,N15,O15,K15)/100 </f>
        <v/>
      </c>
      <c r="V15" s="4">
        <f> Q15 * F15 * P15</f>
        <v/>
      </c>
      <c r="W15" s="4">
        <f> R15 * F15 * P15 * P15/100</f>
        <v/>
      </c>
      <c r="X15" s="4">
        <f> S15 * F15 </f>
        <v/>
      </c>
      <c r="Y15" s="4">
        <f> T15 * F15 </f>
        <v/>
      </c>
      <c r="Z15" s="4">
        <f> U15 * F15 </f>
        <v/>
      </c>
      <c r="AA15" s="4" t="s">
        <v>74</v>
      </c>
      <c r="AB15" s="4" t="n">
        <v>3558</v>
      </c>
      <c r="AC15" s="4">
        <f>GDelta(I15,AB15,G15,(L15+1)/245,N15,O15,K15)*J15 </f>
        <v/>
      </c>
      <c r="AD15" s="4">
        <f>GGamma(AB15,G15,(L15+1)/245,N15,O15,K15)*J15 </f>
        <v/>
      </c>
      <c r="AE15" s="4">
        <f>GVega(AB15,G15,(L15+1)/245,N15,O15,K15)/100*J15 </f>
        <v/>
      </c>
      <c r="AF15" s="4">
        <f>GTheta(I15,AB15,G15,(L15+1)/245,N15,O15,K15)/245*J15 </f>
        <v/>
      </c>
      <c r="AG15" s="4">
        <f>GRho(I15,AB15,G15,(L15+1)/245,N15,O15,K15)/100 </f>
        <v/>
      </c>
    </row>
    <row customHeight="1" ht="20" r="16" s="1" spans="1:33">
      <c r="A16" s="4" t="s">
        <v>8</v>
      </c>
      <c r="B16" s="5" t="s">
        <v>86</v>
      </c>
      <c r="C16" s="4" t="s">
        <v>23</v>
      </c>
      <c r="D16" s="4" t="s">
        <v>70</v>
      </c>
      <c r="E16" s="4" t="s">
        <v>81</v>
      </c>
      <c r="F16" s="4" t="n">
        <v>50</v>
      </c>
      <c r="G16" s="4" t="n">
        <v>50550</v>
      </c>
      <c r="H16" s="4" t="n">
        <v>48610</v>
      </c>
      <c r="I16" s="4" t="s">
        <v>79</v>
      </c>
      <c r="J16" s="6" t="n">
        <v>1</v>
      </c>
      <c r="K16" s="7" t="n">
        <v>0.152</v>
      </c>
      <c r="L16" s="4" t="n">
        <v>3</v>
      </c>
      <c r="M16" s="4" t="s">
        <v>73</v>
      </c>
      <c r="N16" s="7" t="n">
        <v>0.045</v>
      </c>
      <c r="O16" s="4" t="n">
        <v>0</v>
      </c>
      <c r="P16" s="4" t="n">
        <v>49240</v>
      </c>
      <c r="Q16" s="4">
        <f>GDelta(I16,P16,G16,L16/245,N16,O16,K16)*J16 </f>
        <v/>
      </c>
      <c r="R16" s="4">
        <f>GGamma(P16,G16,L16/245,N16,O16,K16)*J16 </f>
        <v/>
      </c>
      <c r="S16" s="4">
        <f>GVega(P16,G16,L16/245,N16,O16,K16)/100*J16 </f>
        <v/>
      </c>
      <c r="T16" s="4">
        <f>GTheta(I16,P16,G16,L16/245,N16,O16,K16)/245*J16 </f>
        <v/>
      </c>
      <c r="U16" s="4">
        <f>GRho(I16,P16,G16,L16/245,N16,O16,K16)/100 </f>
        <v/>
      </c>
      <c r="V16" s="4">
        <f> Q16 * F16 * P16</f>
        <v/>
      </c>
      <c r="W16" s="4">
        <f> R16 * F16 * P16 * P16/100</f>
        <v/>
      </c>
      <c r="X16" s="4">
        <f> S16 * F16 </f>
        <v/>
      </c>
      <c r="Y16" s="4">
        <f> T16 * F16 </f>
        <v/>
      </c>
      <c r="Z16" s="4">
        <f> U16 * F16 </f>
        <v/>
      </c>
      <c r="AA16" s="4" t="s">
        <v>74</v>
      </c>
      <c r="AB16" s="4" t="n">
        <v>49280</v>
      </c>
      <c r="AC16" s="4">
        <f>GDelta(I16,AB16,G16,(L16+1)/245,N16,O16,K16)*J16 </f>
        <v/>
      </c>
      <c r="AD16" s="4">
        <f>GGamma(AB16,G16,(L16+1)/245,N16,O16,K16)*J16 </f>
        <v/>
      </c>
      <c r="AE16" s="4">
        <f>GVega(AB16,G16,(L16+1)/245,N16,O16,K16)/100*J16 </f>
        <v/>
      </c>
      <c r="AF16" s="4">
        <f>GTheta(I16,AB16,G16,(L16+1)/245,N16,O16,K16)/245*J16 </f>
        <v/>
      </c>
      <c r="AG16" s="4">
        <f>GRho(I16,AB16,G16,(L16+1)/245,N16,O16,K16)/100 </f>
        <v/>
      </c>
    </row>
    <row customHeight="1" ht="20" r="17" s="1" spans="1:33">
      <c r="A17" s="4" t="s">
        <v>8</v>
      </c>
      <c r="B17" s="5" t="s">
        <v>86</v>
      </c>
      <c r="C17" s="4" t="s">
        <v>23</v>
      </c>
      <c r="D17" s="4" t="s">
        <v>70</v>
      </c>
      <c r="E17" s="4" t="s">
        <v>71</v>
      </c>
      <c r="F17" s="4" t="n">
        <v>50</v>
      </c>
      <c r="G17" s="4" t="n">
        <v>46670</v>
      </c>
      <c r="H17" s="4" t="n">
        <v>48610</v>
      </c>
      <c r="I17" s="4" t="s">
        <v>72</v>
      </c>
      <c r="J17" s="6" t="n">
        <v>1</v>
      </c>
      <c r="K17" s="7" t="n">
        <v>0.152</v>
      </c>
      <c r="L17" s="4" t="n">
        <v>3</v>
      </c>
      <c r="M17" s="4" t="s">
        <v>73</v>
      </c>
      <c r="N17" s="7" t="n">
        <v>0.045</v>
      </c>
      <c r="O17" s="4" t="n">
        <v>0</v>
      </c>
      <c r="P17" s="4" t="n">
        <v>49240</v>
      </c>
      <c r="Q17" s="4">
        <f>GDelta(I17,P17,G17,L17/245,N17,O17,K17)*J17 </f>
        <v/>
      </c>
      <c r="R17" s="4">
        <f>GGamma(P17,G17,L17/245,N17,O17,K17)*J17 </f>
        <v/>
      </c>
      <c r="S17" s="4">
        <f>GVega(P17,G17,L17/245,N17,O17,K17)/100*J17 </f>
        <v/>
      </c>
      <c r="T17" s="4">
        <f>GTheta(I17,P17,G17,L17/245,N17,O17,K17)/245*J17 </f>
        <v/>
      </c>
      <c r="U17" s="4">
        <f>GRho(I17,P17,G17,L17/245,N17,O17,K17)/100 </f>
        <v/>
      </c>
      <c r="V17" s="4">
        <f> Q17 * F17 * P17</f>
        <v/>
      </c>
      <c r="W17" s="4">
        <f> R17 * F17 * P17 * P17/100</f>
        <v/>
      </c>
      <c r="X17" s="4">
        <f> S17 * F17 </f>
        <v/>
      </c>
      <c r="Y17" s="4">
        <f> T17 * F17 </f>
        <v/>
      </c>
      <c r="Z17" s="4">
        <f> U17 * F17 </f>
        <v/>
      </c>
      <c r="AA17" s="4" t="s">
        <v>74</v>
      </c>
      <c r="AB17" s="4" t="n">
        <v>49280</v>
      </c>
      <c r="AC17" s="4">
        <f>GDelta(I17,AB17,G17,(L17+1)/245,N17,O17,K17)*J17 </f>
        <v/>
      </c>
      <c r="AD17" s="4">
        <f>GGamma(AB17,G17,(L17+1)/245,N17,O17,K17)*J17 </f>
        <v/>
      </c>
      <c r="AE17" s="4">
        <f>GVega(AB17,G17,(L17+1)/245,N17,O17,K17)/100*J17 </f>
        <v/>
      </c>
      <c r="AF17" s="4">
        <f>GTheta(I17,AB17,G17,(L17+1)/245,N17,O17,K17)/245*J17 </f>
        <v/>
      </c>
      <c r="AG17" s="4">
        <f>GRho(I17,AB17,G17,(L17+1)/245,N17,O17,K17)/100 </f>
        <v/>
      </c>
    </row>
    <row customHeight="1" ht="20" r="18" s="1" spans="1:33">
      <c r="A18" s="4" t="s">
        <v>9</v>
      </c>
      <c r="B18" s="8" t="s">
        <v>87</v>
      </c>
      <c r="C18" s="4" t="s">
        <v>35</v>
      </c>
      <c r="D18" s="4" t="s">
        <v>77</v>
      </c>
      <c r="E18" s="4" t="s">
        <v>81</v>
      </c>
      <c r="F18" s="4" t="n">
        <v>500</v>
      </c>
      <c r="G18" s="4" t="n">
        <v>6630</v>
      </c>
      <c r="H18" s="4" t="n">
        <v>6630</v>
      </c>
      <c r="I18" s="4" t="s">
        <v>79</v>
      </c>
      <c r="J18" s="6" t="n">
        <v>-1</v>
      </c>
      <c r="K18" s="7" t="n">
        <v>0.135</v>
      </c>
      <c r="L18" s="4" t="n">
        <v>6</v>
      </c>
      <c r="M18" s="4" t="s">
        <v>73</v>
      </c>
      <c r="N18" s="7" t="n">
        <v>0.045</v>
      </c>
      <c r="O18" s="4" t="n">
        <v>0</v>
      </c>
      <c r="P18" s="4" t="n">
        <v>6500</v>
      </c>
      <c r="Q18" s="4">
        <f>GDelta(I18,P18,G18,L18/245,N18,O18,K18)*J18 </f>
        <v/>
      </c>
      <c r="R18" s="4">
        <f>GGamma(P18,G18,L18/245,N18,O18,K18)*J18 </f>
        <v/>
      </c>
      <c r="S18" s="4">
        <f>GVega(P18,G18,L18/245,N18,O18,K18)/100*J18 </f>
        <v/>
      </c>
      <c r="T18" s="4">
        <f>GTheta(I18,P18,G18,L18/245,N18,O18,K18)/245*J18 </f>
        <v/>
      </c>
      <c r="U18" s="4">
        <f>GRho(I18,P18,G18,L18/245,N18,O18,K18)/100 </f>
        <v/>
      </c>
      <c r="V18" s="4">
        <f> Q18 * F18 * P18</f>
        <v/>
      </c>
      <c r="W18" s="4">
        <f> R18 * F18 * P18 * P18/100</f>
        <v/>
      </c>
      <c r="X18" s="4">
        <f> S18 * F18 </f>
        <v/>
      </c>
      <c r="Y18" s="4">
        <f> T18 * F18 </f>
        <v/>
      </c>
      <c r="Z18" s="4">
        <f> U18 * F18 </f>
        <v/>
      </c>
      <c r="AA18" s="4" t="s">
        <v>74</v>
      </c>
      <c r="AB18" s="4" t="n">
        <v>6520</v>
      </c>
      <c r="AC18" s="4">
        <f>GDelta(I18,AB18,G18,(L18+1)/245,N18,O18,K18)*J18 </f>
        <v/>
      </c>
      <c r="AD18" s="4">
        <f>GGamma(AB18,G18,(L18+1)/245,N18,O18,K18)*J18 </f>
        <v/>
      </c>
      <c r="AE18" s="4">
        <f>GVega(AB18,G18,(L18+1)/245,N18,O18,K18)/100*J18 </f>
        <v/>
      </c>
      <c r="AF18" s="4">
        <f>GTheta(I18,AB18,G18,(L18+1)/245,N18,O18,K18)/245*J18 </f>
        <v/>
      </c>
      <c r="AG18" s="4">
        <f>GRho(I18,AB18,G18,(L18+1)/245,N18,O18,K18)/100 </f>
        <v/>
      </c>
    </row>
    <row customHeight="1" ht="20" r="19" s="1" spans="1:33">
      <c r="A19" s="4" t="s">
        <v>9</v>
      </c>
      <c r="B19" s="8" t="s">
        <v>87</v>
      </c>
      <c r="C19" s="4" t="s">
        <v>35</v>
      </c>
      <c r="D19" s="4" t="s">
        <v>77</v>
      </c>
      <c r="E19" s="4" t="s">
        <v>71</v>
      </c>
      <c r="F19" s="4" t="n">
        <v>500</v>
      </c>
      <c r="G19" s="4" t="n">
        <v>6630</v>
      </c>
      <c r="H19" s="4" t="n">
        <v>6630</v>
      </c>
      <c r="I19" s="4" t="s">
        <v>72</v>
      </c>
      <c r="J19" s="6" t="n">
        <v>-1</v>
      </c>
      <c r="K19" s="7" t="n">
        <v>0.135</v>
      </c>
      <c r="L19" s="4" t="n">
        <v>6</v>
      </c>
      <c r="M19" s="4" t="s">
        <v>73</v>
      </c>
      <c r="N19" s="7" t="n">
        <v>0.045</v>
      </c>
      <c r="O19" s="4" t="n">
        <v>0</v>
      </c>
      <c r="P19" s="4" t="n">
        <v>6500</v>
      </c>
      <c r="Q19" s="4">
        <f>GDelta(I19,P19,G19,L19/245,N19,O19,K19)*J19 </f>
        <v/>
      </c>
      <c r="R19" s="4">
        <f>GGamma(P19,G19,L19/245,N19,O19,K19)*J19 </f>
        <v/>
      </c>
      <c r="S19" s="4">
        <f>GVega(P19,G19,L19/245,N19,O19,K19)/100*J19 </f>
        <v/>
      </c>
      <c r="T19" s="4">
        <f>GTheta(I19,P19,G19,L19/245,N19,O19,K19)/245*J19 </f>
        <v/>
      </c>
      <c r="U19" s="4">
        <f>GRho(I19,P19,G19,L19/245,N19,O19,K19)/100 </f>
        <v/>
      </c>
      <c r="V19" s="4">
        <f> Q19 * F19 * P19</f>
        <v/>
      </c>
      <c r="W19" s="4">
        <f> R19 * F19 * P19 * P19/100</f>
        <v/>
      </c>
      <c r="X19" s="4">
        <f> S19 * F19 </f>
        <v/>
      </c>
      <c r="Y19" s="4">
        <f> T19 * F19 </f>
        <v/>
      </c>
      <c r="Z19" s="4">
        <f> U19 * F19 </f>
        <v/>
      </c>
      <c r="AA19" s="4" t="s">
        <v>74</v>
      </c>
      <c r="AB19" s="4" t="n">
        <v>6520</v>
      </c>
      <c r="AC19" s="4">
        <f>GDelta(I19,AB19,G19,(L19+1)/245,N19,O19,K19)*J19 </f>
        <v/>
      </c>
      <c r="AD19" s="4">
        <f>GGamma(AB19,G19,(L19+1)/245,N19,O19,K19)*J19 </f>
        <v/>
      </c>
      <c r="AE19" s="4">
        <f>GVega(AB19,G19,(L19+1)/245,N19,O19,K19)/100*J19 </f>
        <v/>
      </c>
      <c r="AF19" s="4">
        <f>GTheta(I19,AB19,G19,(L19+1)/245,N19,O19,K19)/245*J19 </f>
        <v/>
      </c>
      <c r="AG19" s="4">
        <f>GRho(I19,AB19,G19,(L19+1)/245,N19,O19,K19)/100 </f>
        <v/>
      </c>
    </row>
    <row customHeight="1" ht="20" r="20" s="1" spans="1:33">
      <c r="A20" s="4" t="s">
        <v>9</v>
      </c>
      <c r="B20" s="8" t="s">
        <v>88</v>
      </c>
      <c r="C20" s="4" t="s">
        <v>31</v>
      </c>
      <c r="D20" s="4" t="s">
        <v>77</v>
      </c>
      <c r="E20" s="4" t="s">
        <v>78</v>
      </c>
      <c r="F20" s="4" t="n">
        <v>350</v>
      </c>
      <c r="G20" s="4" t="n">
        <v>13210</v>
      </c>
      <c r="H20" s="4" t="n">
        <v>13210</v>
      </c>
      <c r="I20" s="4" t="s">
        <v>79</v>
      </c>
      <c r="J20" s="6" t="n">
        <v>-1</v>
      </c>
      <c r="K20" s="7" t="n">
        <v>0.19</v>
      </c>
      <c r="L20" s="4" t="n">
        <v>7</v>
      </c>
      <c r="M20" s="4" t="s">
        <v>73</v>
      </c>
      <c r="N20" s="7" t="n">
        <v>0.045</v>
      </c>
      <c r="O20" s="4" t="n">
        <v>0</v>
      </c>
      <c r="P20" s="4" t="n">
        <v>12965</v>
      </c>
      <c r="Q20" s="4">
        <f>GDelta(I20,P20,G20,L20/245,N20,O20,K20)*J20 </f>
        <v/>
      </c>
      <c r="R20" s="4">
        <f>GGamma(P20,G20,L20/245,N20,O20,K20)*J20 </f>
        <v/>
      </c>
      <c r="S20" s="4">
        <f>GVega(P20,G20,L20/245,N20,O20,K20)/100*J20 </f>
        <v/>
      </c>
      <c r="T20" s="4">
        <f>GTheta(I20,P20,G20,L20/245,N20,O20,K20)/245*J20 </f>
        <v/>
      </c>
      <c r="U20" s="4">
        <f>GRho(I20,P20,G20,L20/245,N20,O20,K20)/100 </f>
        <v/>
      </c>
      <c r="V20" s="4">
        <f> Q20 * F20 * P20</f>
        <v/>
      </c>
      <c r="W20" s="4">
        <f> R20 * F20 * P20 * P20/100</f>
        <v/>
      </c>
      <c r="X20" s="4">
        <f> S20 * F20 </f>
        <v/>
      </c>
      <c r="Y20" s="4">
        <f> T20 * F20 </f>
        <v/>
      </c>
      <c r="Z20" s="4">
        <f> U20 * F20 </f>
        <v/>
      </c>
      <c r="AA20" s="4" t="s">
        <v>74</v>
      </c>
      <c r="AB20" s="4" t="n">
        <v>12970</v>
      </c>
      <c r="AC20" s="4">
        <f>GDelta(I20,AB20,G20,(L20+1)/245,N20,O20,K20)*J20 </f>
        <v/>
      </c>
      <c r="AD20" s="4">
        <f>GGamma(AB20,G20,(L20+1)/245,N20,O20,K20)*J20 </f>
        <v/>
      </c>
      <c r="AE20" s="4">
        <f>GVega(AB20,G20,(L20+1)/245,N20,O20,K20)/100*J20 </f>
        <v/>
      </c>
      <c r="AF20" s="4">
        <f>GTheta(I20,AB20,G20,(L20+1)/245,N20,O20,K20)/245*J20 </f>
        <v/>
      </c>
      <c r="AG20" s="4">
        <f>GRho(I20,AB20,G20,(L20+1)/245,N20,O20,K20)/100 </f>
        <v/>
      </c>
    </row>
    <row customHeight="1" ht="20" r="21" s="1" spans="1:33">
      <c r="A21" s="4" t="s">
        <v>9</v>
      </c>
      <c r="B21" s="8" t="s">
        <v>88</v>
      </c>
      <c r="C21" s="4" t="s">
        <v>31</v>
      </c>
      <c r="D21" s="4" t="s">
        <v>77</v>
      </c>
      <c r="E21" s="4" t="s">
        <v>80</v>
      </c>
      <c r="F21" s="4" t="n">
        <v>350</v>
      </c>
      <c r="G21" s="4" t="n">
        <v>13210</v>
      </c>
      <c r="H21" s="4" t="n">
        <v>13210</v>
      </c>
      <c r="I21" s="4" t="s">
        <v>72</v>
      </c>
      <c r="J21" s="6" t="n">
        <v>-1</v>
      </c>
      <c r="K21" s="7" t="n">
        <v>0.19</v>
      </c>
      <c r="L21" s="4" t="n">
        <v>7</v>
      </c>
      <c r="M21" s="4" t="s">
        <v>73</v>
      </c>
      <c r="N21" s="7" t="n">
        <v>0.045</v>
      </c>
      <c r="O21" s="4" t="n">
        <v>0</v>
      </c>
      <c r="P21" s="4" t="n">
        <v>12965</v>
      </c>
      <c r="Q21" s="4">
        <f>GDelta(I21,P21,G21,L21/245,N21,O21,K21)*J21 </f>
        <v/>
      </c>
      <c r="R21" s="4">
        <f>GGamma(P21,G21,L21/245,N21,O21,K21)*J21 </f>
        <v/>
      </c>
      <c r="S21" s="4">
        <f>GVega(P21,G21,L21/245,N21,O21,K21)/100*J21 </f>
        <v/>
      </c>
      <c r="T21" s="4">
        <f>GTheta(I21,P21,G21,L21/245,N21,O21,K21)/245*J21 </f>
        <v/>
      </c>
      <c r="U21" s="4">
        <f>GRho(I21,P21,G21,L21/245,N21,O21,K21)/100 </f>
        <v/>
      </c>
      <c r="V21" s="4">
        <f> Q21 * F21 * P21</f>
        <v/>
      </c>
      <c r="W21" s="4">
        <f> R21 * F21 * P21 * P21/100</f>
        <v/>
      </c>
      <c r="X21" s="4">
        <f> S21 * F21 </f>
        <v/>
      </c>
      <c r="Y21" s="4">
        <f> T21 * F21 </f>
        <v/>
      </c>
      <c r="Z21" s="4">
        <f> U21 * F21 </f>
        <v/>
      </c>
      <c r="AA21" s="4" t="s">
        <v>74</v>
      </c>
      <c r="AB21" s="4" t="n">
        <v>12970</v>
      </c>
      <c r="AC21" s="4">
        <f>GDelta(I21,AB21,G21,(L21+1)/245,N21,O21,K21)*J21 </f>
        <v/>
      </c>
      <c r="AD21" s="4">
        <f>GGamma(AB21,G21,(L21+1)/245,N21,O21,K21)*J21 </f>
        <v/>
      </c>
      <c r="AE21" s="4">
        <f>GVega(AB21,G21,(L21+1)/245,N21,O21,K21)/100*J21 </f>
        <v/>
      </c>
      <c r="AF21" s="4">
        <f>GTheta(I21,AB21,G21,(L21+1)/245,N21,O21,K21)/245*J21 </f>
        <v/>
      </c>
      <c r="AG21" s="4">
        <f>GRho(I21,AB21,G21,(L21+1)/245,N21,O21,K21)/100 </f>
        <v/>
      </c>
    </row>
    <row customHeight="1" ht="20" r="22" s="1" spans="1:33">
      <c r="A22" s="4" t="s">
        <v>9</v>
      </c>
      <c r="B22" s="8" t="s">
        <v>89</v>
      </c>
      <c r="C22" s="4" t="s">
        <v>31</v>
      </c>
      <c r="D22" s="4" t="s">
        <v>77</v>
      </c>
      <c r="E22" s="4" t="s">
        <v>71</v>
      </c>
      <c r="F22" s="4" t="n">
        <v>1000</v>
      </c>
      <c r="G22" s="4" t="n">
        <v>14000</v>
      </c>
      <c r="H22" s="4" t="n">
        <v>13240</v>
      </c>
      <c r="I22" s="4" t="s">
        <v>72</v>
      </c>
      <c r="J22" s="6" t="n">
        <v>-1</v>
      </c>
      <c r="K22" s="7" t="n">
        <v>0.215</v>
      </c>
      <c r="L22" s="4" t="n">
        <v>7</v>
      </c>
      <c r="M22" s="4" t="s">
        <v>73</v>
      </c>
      <c r="N22" s="7" t="n">
        <v>0.045</v>
      </c>
      <c r="O22" s="4" t="n">
        <v>0</v>
      </c>
      <c r="P22" s="4" t="n">
        <v>12965</v>
      </c>
      <c r="Q22" s="4">
        <f>GDelta(I22,P22,G22,L22/245,N22,O22,K22)*J22 </f>
        <v/>
      </c>
      <c r="R22" s="4">
        <f>GGamma(P22,G22,L22/245,N22,O22,K22)*J22 </f>
        <v/>
      </c>
      <c r="S22" s="4">
        <f>GVega(P22,G22,L22/245,N22,O22,K22)/100*J22 </f>
        <v/>
      </c>
      <c r="T22" s="4">
        <f>GTheta(I22,P22,G22,L22/245,N22,O22,K22)/245*J22 </f>
        <v/>
      </c>
      <c r="U22" s="4">
        <f>GRho(I22,P22,G22,L22/245,N22,O22,K22)/100 </f>
        <v/>
      </c>
      <c r="V22" s="4">
        <f> Q22 * F22 * P22</f>
        <v/>
      </c>
      <c r="W22" s="4">
        <f> R22 * F22 * P22 * P22/100</f>
        <v/>
      </c>
      <c r="X22" s="4">
        <f> S22 * F22 </f>
        <v/>
      </c>
      <c r="Y22" s="4">
        <f> T22 * F22 </f>
        <v/>
      </c>
      <c r="Z22" s="4">
        <f> U22 * F22 </f>
        <v/>
      </c>
      <c r="AA22" s="4" t="s">
        <v>74</v>
      </c>
      <c r="AB22" s="4" t="n">
        <v>12970</v>
      </c>
      <c r="AC22" s="4">
        <f>GDelta(I22,AB22,G22,(L22+1)/245,N22,O22,K22)*J22 </f>
        <v/>
      </c>
      <c r="AD22" s="4">
        <f>GGamma(AB22,G22,(L22+1)/245,N22,O22,K22)*J22 </f>
        <v/>
      </c>
      <c r="AE22" s="4">
        <f>GVega(AB22,G22,(L22+1)/245,N22,O22,K22)/100*J22 </f>
        <v/>
      </c>
      <c r="AF22" s="4">
        <f>GTheta(I22,AB22,G22,(L22+1)/245,N22,O22,K22)/245*J22 </f>
        <v/>
      </c>
      <c r="AG22" s="4">
        <f>GRho(I22,AB22,G22,(L22+1)/245,N22,O22,K22)/100 </f>
        <v/>
      </c>
    </row>
    <row customHeight="1" ht="20" r="23" s="1" spans="1:33">
      <c r="A23" s="4" t="s">
        <v>10</v>
      </c>
      <c r="B23" s="12" t="s">
        <v>90</v>
      </c>
      <c r="C23" s="4" t="s">
        <v>30</v>
      </c>
      <c r="D23" s="4" t="s">
        <v>77</v>
      </c>
      <c r="E23" s="4" t="s">
        <v>81</v>
      </c>
      <c r="F23" s="4" t="n">
        <v>10000</v>
      </c>
      <c r="G23" s="4" t="n">
        <v>690</v>
      </c>
      <c r="H23" s="4" t="n">
        <v>650</v>
      </c>
      <c r="I23" s="4" t="s">
        <v>79</v>
      </c>
      <c r="J23" s="6" t="n">
        <v>-1</v>
      </c>
      <c r="K23" s="7" t="n">
        <v>0.2445</v>
      </c>
      <c r="L23" s="4" t="n">
        <v>7</v>
      </c>
      <c r="M23" s="4" t="s">
        <v>73</v>
      </c>
      <c r="N23" s="7" t="n">
        <v>0.045</v>
      </c>
      <c r="O23" s="4" t="n">
        <v>0</v>
      </c>
      <c r="P23" s="4" t="n">
        <v>655.5</v>
      </c>
      <c r="Q23" s="4">
        <f>GDelta(I23,P23,G23,L23/245,N23,O23,K23)*J23 </f>
        <v/>
      </c>
      <c r="R23" s="4">
        <f>GGamma(P23,G23,L23/245,N23,O23,K23)*J23 </f>
        <v/>
      </c>
      <c r="S23" s="4">
        <f>GVega(P23,G23,L23/245,N23,O23,K23)/100*J23 </f>
        <v/>
      </c>
      <c r="T23" s="4">
        <f>GTheta(I23,P23,G23,L23/245,N23,O23,K23)/245*J23 </f>
        <v/>
      </c>
      <c r="U23" s="4">
        <f>GRho(I23,P23,G23,L23/245,N23,O23,K23)/100 </f>
        <v/>
      </c>
      <c r="V23" s="4">
        <f> Q23 * F23 * P23</f>
        <v/>
      </c>
      <c r="W23" s="4">
        <f> R23 * F23 * P23 * P23/100</f>
        <v/>
      </c>
      <c r="X23" s="4">
        <f> S23 * F23 </f>
        <v/>
      </c>
      <c r="Y23" s="4">
        <f> T23 * F23 </f>
        <v/>
      </c>
      <c r="Z23" s="4">
        <f> U23 * F23 </f>
        <v/>
      </c>
      <c r="AA23" s="4" t="s">
        <v>74</v>
      </c>
      <c r="AB23" s="4" t="n">
        <v>646.5</v>
      </c>
      <c r="AC23" s="4">
        <f>GDelta(I23,AB23,G23,(L23+1)/245,N23,O23,K23)*J23 </f>
        <v/>
      </c>
      <c r="AD23" s="4">
        <f>GGamma(AB23,G23,(L23+1)/245,N23,O23,K23)*J23 </f>
        <v/>
      </c>
      <c r="AE23" s="4">
        <f>GVega(AB23,G23,(L23+1)/245,N23,O23,K23)/100*J23 </f>
        <v/>
      </c>
      <c r="AF23" s="4">
        <f>GTheta(I23,AB23,G23,(L23+1)/245,N23,O23,K23)/245*J23 </f>
        <v/>
      </c>
      <c r="AG23" s="4">
        <f>GRho(I23,AB23,G23,(L23+1)/245,N23,O23,K23)/100 </f>
        <v/>
      </c>
    </row>
    <row customHeight="1" ht="20" r="24" s="1" spans="1:33">
      <c r="A24" s="4" t="s">
        <v>9</v>
      </c>
      <c r="B24" s="8" t="s">
        <v>88</v>
      </c>
      <c r="C24" s="4" t="s">
        <v>35</v>
      </c>
      <c r="D24" s="4" t="s">
        <v>70</v>
      </c>
      <c r="E24" s="4" t="s">
        <v>78</v>
      </c>
      <c r="F24" s="4" t="n">
        <v>750</v>
      </c>
      <c r="G24" s="4" t="n">
        <v>6550</v>
      </c>
      <c r="H24" s="4" t="n">
        <v>6550</v>
      </c>
      <c r="I24" s="4" t="s">
        <v>79</v>
      </c>
      <c r="J24" s="6" t="n">
        <v>1</v>
      </c>
      <c r="K24" s="7" t="n">
        <v>0.126</v>
      </c>
      <c r="L24" s="4" t="n">
        <v>7</v>
      </c>
      <c r="M24" s="4" t="s">
        <v>73</v>
      </c>
      <c r="N24" s="7" t="n">
        <v>0.045</v>
      </c>
      <c r="O24" s="4" t="n">
        <v>0</v>
      </c>
      <c r="P24" s="4" t="n">
        <v>6500</v>
      </c>
      <c r="Q24" s="4">
        <f>GDelta(I24,P24,G24,L24/245,N24,O24,K24)*J24 </f>
        <v/>
      </c>
      <c r="R24" s="4">
        <f>GGamma(P24,G24,L24/245,N24,O24,K24)*J24 </f>
        <v/>
      </c>
      <c r="S24" s="4">
        <f>GVega(P24,G24,L24/245,N24,O24,K24)/100*J24 </f>
        <v/>
      </c>
      <c r="T24" s="4">
        <f>GTheta(I24,P24,G24,L24/245,N24,O24,K24)/245*J24 </f>
        <v/>
      </c>
      <c r="U24" s="4">
        <f>GRho(I24,P24,G24,L24/245,N24,O24,K24)/100 </f>
        <v/>
      </c>
      <c r="V24" s="4">
        <f> Q24 * F24 * P24</f>
        <v/>
      </c>
      <c r="W24" s="4">
        <f> R24 * F24 * P24 * P24/100</f>
        <v/>
      </c>
      <c r="X24" s="4">
        <f> S24 * F24 </f>
        <v/>
      </c>
      <c r="Y24" s="4">
        <f> T24 * F24 </f>
        <v/>
      </c>
      <c r="Z24" s="4">
        <f> U24 * F24 </f>
        <v/>
      </c>
      <c r="AA24" s="4" t="s">
        <v>74</v>
      </c>
      <c r="AB24" s="4" t="n">
        <v>6520</v>
      </c>
      <c r="AC24" s="4">
        <f>GDelta(I24,AB24,G24,(L24+1)/245,N24,O24,K24)*J24 </f>
        <v/>
      </c>
      <c r="AD24" s="4">
        <f>GGamma(AB24,G24,(L24+1)/245,N24,O24,K24)*J24 </f>
        <v/>
      </c>
      <c r="AE24" s="4">
        <f>GVega(AB24,G24,(L24+1)/245,N24,O24,K24)/100*J24 </f>
        <v/>
      </c>
      <c r="AF24" s="4">
        <f>GTheta(I24,AB24,G24,(L24+1)/245,N24,O24,K24)/245*J24 </f>
        <v/>
      </c>
      <c r="AG24" s="4">
        <f>GRho(I24,AB24,G24,(L24+1)/245,N24,O24,K24)/100 </f>
        <v/>
      </c>
    </row>
    <row customHeight="1" ht="20" r="25" s="1" spans="1:33">
      <c r="A25" s="4" t="s">
        <v>9</v>
      </c>
      <c r="B25" s="8" t="s">
        <v>88</v>
      </c>
      <c r="C25" s="4" t="s">
        <v>35</v>
      </c>
      <c r="D25" s="4" t="s">
        <v>70</v>
      </c>
      <c r="E25" s="4" t="s">
        <v>80</v>
      </c>
      <c r="F25" s="4" t="n">
        <v>750</v>
      </c>
      <c r="G25" s="4" t="n">
        <v>6550</v>
      </c>
      <c r="H25" s="4" t="n">
        <v>6550</v>
      </c>
      <c r="I25" s="4" t="s">
        <v>72</v>
      </c>
      <c r="J25" s="6" t="n">
        <v>1</v>
      </c>
      <c r="K25" s="7" t="n">
        <v>0.126</v>
      </c>
      <c r="L25" s="4" t="n">
        <v>7</v>
      </c>
      <c r="M25" s="4" t="s">
        <v>73</v>
      </c>
      <c r="N25" s="7" t="n">
        <v>0.045</v>
      </c>
      <c r="O25" s="4" t="n">
        <v>0</v>
      </c>
      <c r="P25" s="4" t="n">
        <v>6500</v>
      </c>
      <c r="Q25" s="4">
        <f>GDelta(I25,P25,G25,L25/245,N25,O25,K25)*J25 </f>
        <v/>
      </c>
      <c r="R25" s="4">
        <f>GGamma(P25,G25,L25/245,N25,O25,K25)*J25 </f>
        <v/>
      </c>
      <c r="S25" s="4">
        <f>GVega(P25,G25,L25/245,N25,O25,K25)/100*J25 </f>
        <v/>
      </c>
      <c r="T25" s="4">
        <f>GTheta(I25,P25,G25,L25/245,N25,O25,K25)/245*J25 </f>
        <v/>
      </c>
      <c r="U25" s="4">
        <f>GRho(I25,P25,G25,L25/245,N25,O25,K25)/100 </f>
        <v/>
      </c>
      <c r="V25" s="4">
        <f> Q25 * F25 * P25</f>
        <v/>
      </c>
      <c r="W25" s="4">
        <f> R25 * F25 * P25 * P25/100</f>
        <v/>
      </c>
      <c r="X25" s="4">
        <f> S25 * F25 </f>
        <v/>
      </c>
      <c r="Y25" s="4">
        <f> T25 * F25 </f>
        <v/>
      </c>
      <c r="Z25" s="4">
        <f> U25 * F25 </f>
        <v/>
      </c>
      <c r="AA25" s="4" t="s">
        <v>74</v>
      </c>
      <c r="AB25" s="4" t="n">
        <v>6520</v>
      </c>
      <c r="AC25" s="4">
        <f>GDelta(I25,AB25,G25,(L25+1)/245,N25,O25,K25)*J25 </f>
        <v/>
      </c>
      <c r="AD25" s="4">
        <f>GGamma(AB25,G25,(L25+1)/245,N25,O25,K25)*J25 </f>
        <v/>
      </c>
      <c r="AE25" s="4">
        <f>GVega(AB25,G25,(L25+1)/245,N25,O25,K25)/100*J25 </f>
        <v/>
      </c>
      <c r="AF25" s="4">
        <f>GTheta(I25,AB25,G25,(L25+1)/245,N25,O25,K25)/245*J25 </f>
        <v/>
      </c>
      <c r="AG25" s="4">
        <f>GRho(I25,AB25,G25,(L25+1)/245,N25,O25,K25)/100 </f>
        <v/>
      </c>
    </row>
    <row customHeight="1" ht="20" r="26" s="1" spans="1:33">
      <c r="A26" s="4" t="s">
        <v>8</v>
      </c>
      <c r="B26" s="5" t="s">
        <v>86</v>
      </c>
      <c r="C26" s="4" t="s">
        <v>24</v>
      </c>
      <c r="D26" s="4" t="s">
        <v>70</v>
      </c>
      <c r="E26" s="4" t="s">
        <v>81</v>
      </c>
      <c r="F26" s="4" t="n">
        <v>50</v>
      </c>
      <c r="G26" s="4" t="n">
        <v>51000</v>
      </c>
      <c r="H26" s="4" t="n">
        <v>49280</v>
      </c>
      <c r="I26" s="4" t="s">
        <v>79</v>
      </c>
      <c r="J26" s="6" t="n">
        <v>1</v>
      </c>
      <c r="K26" s="7" t="n">
        <v>0.152</v>
      </c>
      <c r="L26" s="4" t="n">
        <v>8</v>
      </c>
      <c r="M26" s="4" t="s">
        <v>73</v>
      </c>
      <c r="N26" s="7" t="n">
        <v>0.045</v>
      </c>
      <c r="O26" s="4" t="n">
        <v>0</v>
      </c>
      <c r="P26" s="4" t="n">
        <v>49390</v>
      </c>
      <c r="Q26" s="4">
        <f>GDelta(I26,P26,G26,L26/245,N26,O26,K26)*J26 </f>
        <v/>
      </c>
      <c r="R26" s="4">
        <f>GGamma(P26,G26,L26/245,N26,O26,K26)*J26 </f>
        <v/>
      </c>
      <c r="S26" s="4">
        <f>GVega(P26,G26,L26/245,N26,O26,K26)/100*J26 </f>
        <v/>
      </c>
      <c r="T26" s="4">
        <f>GTheta(I26,P26,G26,L26/245,N26,O26,K26)/245*J26 </f>
        <v/>
      </c>
      <c r="U26" s="4">
        <f>GRho(I26,P26,G26,L26/245,N26,O26,K26)/100 </f>
        <v/>
      </c>
      <c r="V26" s="4">
        <f> Q26 * F26 * P26</f>
        <v/>
      </c>
      <c r="W26" s="4">
        <f> R26 * F26 * P26 * P26/100</f>
        <v/>
      </c>
      <c r="X26" s="4">
        <f> S26 * F26 </f>
        <v/>
      </c>
      <c r="Y26" s="4">
        <f> T26 * F26 </f>
        <v/>
      </c>
      <c r="Z26" s="4">
        <f> U26 * F26 </f>
        <v/>
      </c>
      <c r="AA26" s="4" t="s">
        <v>74</v>
      </c>
      <c r="AB26" s="4" t="n">
        <v>49420</v>
      </c>
      <c r="AC26" s="4">
        <f>GDelta(I26,AB26,G26,(L26+1)/245,N26,O26,K26)*J26 </f>
        <v/>
      </c>
      <c r="AD26" s="4">
        <f>GGamma(AB26,G26,(L26+1)/245,N26,O26,K26)*J26 </f>
        <v/>
      </c>
      <c r="AE26" s="4">
        <f>GVega(AB26,G26,(L26+1)/245,N26,O26,K26)/100*J26 </f>
        <v/>
      </c>
      <c r="AF26" s="4">
        <f>GTheta(I26,AB26,G26,(L26+1)/245,N26,O26,K26)/245*J26 </f>
        <v/>
      </c>
      <c r="AG26" s="4">
        <f>GRho(I26,AB26,G26,(L26+1)/245,N26,O26,K26)/100 </f>
        <v/>
      </c>
    </row>
    <row customHeight="1" ht="20" r="27" s="1" spans="1:33">
      <c r="A27" s="4" t="s">
        <v>8</v>
      </c>
      <c r="B27" s="5" t="s">
        <v>86</v>
      </c>
      <c r="C27" s="4" t="s">
        <v>24</v>
      </c>
      <c r="D27" s="4" t="s">
        <v>70</v>
      </c>
      <c r="E27" s="4" t="s">
        <v>71</v>
      </c>
      <c r="F27" s="4" t="n">
        <v>50</v>
      </c>
      <c r="G27" s="4" t="n">
        <v>47060</v>
      </c>
      <c r="H27" s="4" t="n">
        <v>49280</v>
      </c>
      <c r="I27" s="4" t="s">
        <v>72</v>
      </c>
      <c r="J27" s="6" t="n">
        <v>1</v>
      </c>
      <c r="K27" s="7" t="n">
        <v>0.152</v>
      </c>
      <c r="L27" s="4" t="n">
        <v>8</v>
      </c>
      <c r="M27" s="4" t="s">
        <v>73</v>
      </c>
      <c r="N27" s="7" t="n">
        <v>0.045</v>
      </c>
      <c r="O27" s="4" t="n">
        <v>0</v>
      </c>
      <c r="P27" s="4" t="n">
        <v>49390</v>
      </c>
      <c r="Q27" s="4">
        <f>GDelta(I27,P27,G27,L27/245,N27,O27,K27)*J27 </f>
        <v/>
      </c>
      <c r="R27" s="4">
        <f>GGamma(P27,G27,L27/245,N27,O27,K27)*J27 </f>
        <v/>
      </c>
      <c r="S27" s="4">
        <f>GVega(P27,G27,L27/245,N27,O27,K27)/100*J27 </f>
        <v/>
      </c>
      <c r="T27" s="4">
        <f>GTheta(I27,P27,G27,L27/245,N27,O27,K27)/245*J27 </f>
        <v/>
      </c>
      <c r="U27" s="4">
        <f>GRho(I27,P27,G27,L27/245,N27,O27,K27)/100 </f>
        <v/>
      </c>
      <c r="V27" s="4">
        <f> Q27 * F27 * P27</f>
        <v/>
      </c>
      <c r="W27" s="4">
        <f> R27 * F27 * P27 * P27/100</f>
        <v/>
      </c>
      <c r="X27" s="4">
        <f> S27 * F27 </f>
        <v/>
      </c>
      <c r="Y27" s="4">
        <f> T27 * F27 </f>
        <v/>
      </c>
      <c r="Z27" s="4">
        <f> U27 * F27 </f>
        <v/>
      </c>
      <c r="AA27" s="4" t="s">
        <v>74</v>
      </c>
      <c r="AB27" s="4" t="n">
        <v>49420</v>
      </c>
      <c r="AC27" s="4">
        <f>GDelta(I27,AB27,G27,(L27+1)/245,N27,O27,K27)*J27 </f>
        <v/>
      </c>
      <c r="AD27" s="4">
        <f>GGamma(AB27,G27,(L27+1)/245,N27,O27,K27)*J27 </f>
        <v/>
      </c>
      <c r="AE27" s="4">
        <f>GVega(AB27,G27,(L27+1)/245,N27,O27,K27)/100*J27 </f>
        <v/>
      </c>
      <c r="AF27" s="4">
        <f>GTheta(I27,AB27,G27,(L27+1)/245,N27,O27,K27)/245*J27 </f>
        <v/>
      </c>
      <c r="AG27" s="4">
        <f>GRho(I27,AB27,G27,(L27+1)/245,N27,O27,K27)/100 </f>
        <v/>
      </c>
    </row>
    <row customHeight="1" ht="20" r="28" s="1" spans="1:33">
      <c r="A28" s="4" t="s">
        <v>10</v>
      </c>
      <c r="B28" s="12" t="s">
        <v>91</v>
      </c>
      <c r="C28" s="4" t="s">
        <v>38</v>
      </c>
      <c r="D28" s="4" t="s">
        <v>77</v>
      </c>
      <c r="E28" s="4" t="s">
        <v>71</v>
      </c>
      <c r="F28" s="4" t="n">
        <v>8120</v>
      </c>
      <c r="G28" s="4" t="n">
        <v>1591.77</v>
      </c>
      <c r="H28" s="4" t="n">
        <v>1641</v>
      </c>
      <c r="I28" s="4" t="s">
        <v>72</v>
      </c>
      <c r="J28" s="6" t="n">
        <v>-1</v>
      </c>
      <c r="K28" s="7" t="n">
        <v>0.25</v>
      </c>
      <c r="L28" s="4" t="n">
        <v>9</v>
      </c>
      <c r="M28" s="4" t="s">
        <v>73</v>
      </c>
      <c r="N28" s="7" t="n">
        <v>0.045</v>
      </c>
      <c r="O28" s="4" t="n">
        <v>0</v>
      </c>
      <c r="P28" s="4" t="n">
        <v>1631</v>
      </c>
      <c r="Q28" s="4">
        <f>GDelta(I28,P28,G28,L28/245,N28,O28,K28)*J28 </f>
        <v/>
      </c>
      <c r="R28" s="4">
        <f>GGamma(P28,G28,L28/245,N28,O28,K28)*J28 </f>
        <v/>
      </c>
      <c r="S28" s="4">
        <f>GVega(P28,G28,L28/245,N28,O28,K28)/100*J28 </f>
        <v/>
      </c>
      <c r="T28" s="4">
        <f>GTheta(I28,P28,G28,L28/245,N28,O28,K28)/245*J28 </f>
        <v/>
      </c>
      <c r="U28" s="4">
        <f>GRho(I28,P28,G28,L28/245,N28,O28,K28)/100 </f>
        <v/>
      </c>
      <c r="V28" s="4">
        <f> Q28 * F28 * P28</f>
        <v/>
      </c>
      <c r="W28" s="4">
        <f> R28 * F28 * P28 * P28/100</f>
        <v/>
      </c>
      <c r="X28" s="4">
        <f> S28 * F28 </f>
        <v/>
      </c>
      <c r="Y28" s="4">
        <f> T28 * F28 </f>
        <v/>
      </c>
      <c r="Z28" s="4">
        <f> U28 * F28 </f>
        <v/>
      </c>
      <c r="AA28" s="4" t="s">
        <v>74</v>
      </c>
      <c r="AB28" s="4" t="n">
        <v>1635</v>
      </c>
      <c r="AC28" s="4">
        <f>GDelta(I28,AB28,G28,(L28+1)/245,N28,O28,K28)*J28 </f>
        <v/>
      </c>
      <c r="AD28" s="4">
        <f>GGamma(AB28,G28,(L28+1)/245,N28,O28,K28)*J28 </f>
        <v/>
      </c>
      <c r="AE28" s="4">
        <f>GVega(AB28,G28,(L28+1)/245,N28,O28,K28)/100*J28 </f>
        <v/>
      </c>
      <c r="AF28" s="4">
        <f>GTheta(I28,AB28,G28,(L28+1)/245,N28,O28,K28)/245*J28 </f>
        <v/>
      </c>
      <c r="AG28" s="4">
        <f>GRho(I28,AB28,G28,(L28+1)/245,N28,O28,K28)/100 </f>
        <v/>
      </c>
    </row>
    <row customHeight="1" ht="20" r="29" s="1" spans="1:33">
      <c r="A29" s="4" t="s">
        <v>9</v>
      </c>
      <c r="B29" s="8" t="s">
        <v>92</v>
      </c>
      <c r="C29" s="4" t="s">
        <v>25</v>
      </c>
      <c r="D29" s="4" t="s">
        <v>77</v>
      </c>
      <c r="E29" s="4" t="s">
        <v>81</v>
      </c>
      <c r="F29" s="4" t="n">
        <v>1000</v>
      </c>
      <c r="G29" s="4" t="n">
        <v>5932</v>
      </c>
      <c r="H29" s="4" t="n">
        <v>5932</v>
      </c>
      <c r="I29" s="4" t="s">
        <v>79</v>
      </c>
      <c r="J29" s="6" t="n">
        <v>-1</v>
      </c>
      <c r="K29" s="7" t="n">
        <v>0.19</v>
      </c>
      <c r="L29" s="4" t="n">
        <v>70</v>
      </c>
      <c r="M29" s="4" t="s">
        <v>73</v>
      </c>
      <c r="N29" s="7" t="n">
        <v>0.045</v>
      </c>
      <c r="O29" s="4" t="n">
        <v>0</v>
      </c>
      <c r="P29" s="4" t="n">
        <v>6316</v>
      </c>
      <c r="Q29" s="4">
        <f>GDelta(I29,P29,G29,L29/245,N29,O29,K29)*J29 </f>
        <v/>
      </c>
      <c r="R29" s="4">
        <f>GGamma(P29,G29,L29/245,N29,O29,K29)*J29 </f>
        <v/>
      </c>
      <c r="S29" s="4">
        <f>GVega(P29,G29,L29/245,N29,O29,K29)/100*J29 </f>
        <v/>
      </c>
      <c r="T29" s="4">
        <f>GTheta(I29,P29,G29,L29/245,N29,O29,K29)/245*J29 </f>
        <v/>
      </c>
      <c r="U29" s="4">
        <f>GRho(I29,P29,G29,L29/245,N29,O29,K29)/100 </f>
        <v/>
      </c>
      <c r="V29" s="4">
        <f> Q29 * F29 * P29</f>
        <v/>
      </c>
      <c r="W29" s="4">
        <f> R29 * F29 * P29 * P29/100</f>
        <v/>
      </c>
      <c r="X29" s="4">
        <f> S29 * F29 </f>
        <v/>
      </c>
      <c r="Y29" s="4">
        <f> T29 * F29 </f>
        <v/>
      </c>
      <c r="Z29" s="4">
        <f> U29 * F29 </f>
        <v/>
      </c>
      <c r="AA29" s="4" t="s">
        <v>74</v>
      </c>
      <c r="AB29" s="4" t="n">
        <v>6352</v>
      </c>
      <c r="AC29" s="4">
        <f>GDelta(I29,AB29,G29,(L29+1)/245,N29,O29,K29)*J29 </f>
        <v/>
      </c>
      <c r="AD29" s="4">
        <f>GGamma(AB29,G29,(L29+1)/245,N29,O29,K29)*J29 </f>
        <v/>
      </c>
      <c r="AE29" s="4">
        <f>GVega(AB29,G29,(L29+1)/245,N29,O29,K29)/100*J29 </f>
        <v/>
      </c>
      <c r="AF29" s="4">
        <f>GTheta(I29,AB29,G29,(L29+1)/245,N29,O29,K29)/245*J29 </f>
        <v/>
      </c>
      <c r="AG29" s="4">
        <f>GRho(I29,AB29,G29,(L29+1)/245,N29,O29,K29)/100 </f>
        <v/>
      </c>
    </row>
    <row customHeight="1" ht="20" r="30" s="1" spans="1:33">
      <c r="A30" s="4" t="s">
        <v>9</v>
      </c>
      <c r="B30" s="8" t="s">
        <v>92</v>
      </c>
      <c r="C30" s="4" t="s">
        <v>25</v>
      </c>
      <c r="D30" s="4" t="s">
        <v>77</v>
      </c>
      <c r="E30" s="4" t="s">
        <v>71</v>
      </c>
      <c r="F30" s="4" t="n">
        <v>1000</v>
      </c>
      <c r="G30" s="4" t="n">
        <v>5932</v>
      </c>
      <c r="H30" s="4" t="n">
        <v>5932</v>
      </c>
      <c r="I30" s="4" t="s">
        <v>72</v>
      </c>
      <c r="J30" s="6" t="n">
        <v>-1</v>
      </c>
      <c r="K30" s="7" t="n">
        <v>0.19</v>
      </c>
      <c r="L30" s="4" t="n">
        <v>70</v>
      </c>
      <c r="M30" s="4" t="s">
        <v>73</v>
      </c>
      <c r="N30" s="7" t="n">
        <v>0.045</v>
      </c>
      <c r="O30" s="4" t="n">
        <v>0</v>
      </c>
      <c r="P30" s="4" t="n">
        <v>6316</v>
      </c>
      <c r="Q30" s="4">
        <f>GDelta(I30,P30,G30,L30/245,N30,O30,K30)*J30 </f>
        <v/>
      </c>
      <c r="R30" s="4">
        <f>GGamma(P30,G30,L30/245,N30,O30,K30)*J30 </f>
        <v/>
      </c>
      <c r="S30" s="4">
        <f>GVega(P30,G30,L30/245,N30,O30,K30)/100*J30 </f>
        <v/>
      </c>
      <c r="T30" s="4">
        <f>GTheta(I30,P30,G30,L30/245,N30,O30,K30)/245*J30 </f>
        <v/>
      </c>
      <c r="U30" s="4">
        <f>GRho(I30,P30,G30,L30/245,N30,O30,K30)/100 </f>
        <v/>
      </c>
      <c r="V30" s="4">
        <f> Q30 * F30 * P30</f>
        <v/>
      </c>
      <c r="W30" s="4">
        <f> R30 * F30 * P30 * P30/100</f>
        <v/>
      </c>
      <c r="X30" s="4">
        <f> S30 * F30 </f>
        <v/>
      </c>
      <c r="Y30" s="4">
        <f> T30 * F30 </f>
        <v/>
      </c>
      <c r="Z30" s="4">
        <f> U30 * F30 </f>
        <v/>
      </c>
      <c r="AA30" s="4" t="s">
        <v>74</v>
      </c>
      <c r="AB30" s="4" t="n">
        <v>6352</v>
      </c>
      <c r="AC30" s="4">
        <f>GDelta(I30,AB30,G30,(L30+1)/245,N30,O30,K30)*J30 </f>
        <v/>
      </c>
      <c r="AD30" s="4">
        <f>GGamma(AB30,G30,(L30+1)/245,N30,O30,K30)*J30 </f>
        <v/>
      </c>
      <c r="AE30" s="4">
        <f>GVega(AB30,G30,(L30+1)/245,N30,O30,K30)/100*J30 </f>
        <v/>
      </c>
      <c r="AF30" s="4">
        <f>GTheta(I30,AB30,G30,(L30+1)/245,N30,O30,K30)/245*J30 </f>
        <v/>
      </c>
      <c r="AG30" s="4">
        <f>GRho(I30,AB30,G30,(L30+1)/245,N30,O30,K30)/100 </f>
        <v/>
      </c>
    </row>
    <row customHeight="1" ht="20" r="31" s="1" spans="1:33">
      <c r="A31" s="4" t="s">
        <v>8</v>
      </c>
      <c r="B31" s="5" t="s">
        <v>93</v>
      </c>
      <c r="C31" s="4" t="s">
        <v>25</v>
      </c>
      <c r="D31" s="4" t="s">
        <v>77</v>
      </c>
      <c r="E31" s="4" t="s">
        <v>81</v>
      </c>
      <c r="F31" s="4" t="n">
        <v>1200</v>
      </c>
      <c r="G31" s="4" t="n">
        <v>6444</v>
      </c>
      <c r="H31" s="4" t="n">
        <v>6060</v>
      </c>
      <c r="I31" s="4" t="s">
        <v>79</v>
      </c>
      <c r="J31" s="6" t="n">
        <v>-1</v>
      </c>
      <c r="K31" s="7" t="n">
        <v>0.2378</v>
      </c>
      <c r="L31" s="4" t="n">
        <v>12</v>
      </c>
      <c r="M31" s="4" t="s">
        <v>73</v>
      </c>
      <c r="N31" s="7" t="n">
        <v>0.045</v>
      </c>
      <c r="O31" s="4" t="n">
        <v>0</v>
      </c>
      <c r="P31" s="4" t="n">
        <v>6316</v>
      </c>
      <c r="Q31" s="4">
        <f>GDelta(I31,P31,G31,L31/245,N31,O31,K31)*J31 </f>
        <v/>
      </c>
      <c r="R31" s="4">
        <f>GGamma(P31,G31,L31/245,N31,O31,K31)*J31 </f>
        <v/>
      </c>
      <c r="S31" s="4">
        <f>GVega(P31,G31,L31/245,N31,O31,K31)/100*J31 </f>
        <v/>
      </c>
      <c r="T31" s="4">
        <f>GTheta(I31,P31,G31,L31/245,N31,O31,K31)/245*J31 </f>
        <v/>
      </c>
      <c r="U31" s="4">
        <f>GRho(I31,P31,G31,L31/245,N31,O31,K31)/100 </f>
        <v/>
      </c>
      <c r="V31" s="4">
        <f> Q31 * F31 * P31</f>
        <v/>
      </c>
      <c r="W31" s="4">
        <f> R31 * F31 * P31 * P31/100</f>
        <v/>
      </c>
      <c r="X31" s="4">
        <f> S31 * F31 </f>
        <v/>
      </c>
      <c r="Y31" s="4">
        <f> T31 * F31 </f>
        <v/>
      </c>
      <c r="Z31" s="4">
        <f> U31 * F31 </f>
        <v/>
      </c>
      <c r="AA31" s="4" t="s">
        <v>74</v>
      </c>
      <c r="AB31" s="4" t="n">
        <v>6352</v>
      </c>
      <c r="AC31" s="4">
        <f>GDelta(I31,AB31,G31,(L31+1)/245,N31,O31,K31)*J31 </f>
        <v/>
      </c>
      <c r="AD31" s="4">
        <f>GGamma(AB31,G31,(L31+1)/245,N31,O31,K31)*J31 </f>
        <v/>
      </c>
      <c r="AE31" s="4">
        <f>GVega(AB31,G31,(L31+1)/245,N31,O31,K31)/100*J31 </f>
        <v/>
      </c>
      <c r="AF31" s="4">
        <f>GTheta(I31,AB31,G31,(L31+1)/245,N31,O31,K31)/245*J31 </f>
        <v/>
      </c>
      <c r="AG31" s="4">
        <f>GRho(I31,AB31,G31,(L31+1)/245,N31,O31,K31)/100 </f>
        <v/>
      </c>
    </row>
    <row customHeight="1" ht="20" r="32" s="1" spans="1:33">
      <c r="A32" s="4" t="s">
        <v>9</v>
      </c>
      <c r="B32" s="8" t="s">
        <v>75</v>
      </c>
      <c r="C32" s="4" t="s">
        <v>36</v>
      </c>
      <c r="D32" s="4" t="s">
        <v>70</v>
      </c>
      <c r="E32" s="4" t="s">
        <v>81</v>
      </c>
      <c r="F32" s="4" t="n">
        <v>2200</v>
      </c>
      <c r="G32" s="4" t="n">
        <v>4700</v>
      </c>
      <c r="H32" s="4" t="n">
        <v>4590</v>
      </c>
      <c r="I32" s="4" t="s">
        <v>79</v>
      </c>
      <c r="J32" s="6" t="n">
        <v>1</v>
      </c>
      <c r="K32" s="7" t="n">
        <v>0.1058</v>
      </c>
      <c r="L32" s="4" t="n">
        <v>12</v>
      </c>
      <c r="M32" s="4" t="s">
        <v>73</v>
      </c>
      <c r="N32" s="7" t="n">
        <v>0.045</v>
      </c>
      <c r="O32" s="4" t="n">
        <v>0</v>
      </c>
      <c r="P32" s="4" t="n">
        <v>4618</v>
      </c>
      <c r="Q32" s="4">
        <f>GDelta(I32,P32,G32,L32/245,N32,O32,K32)*J32 </f>
        <v/>
      </c>
      <c r="R32" s="4">
        <f>GGamma(P32,G32,L32/245,N32,O32,K32)*J32 </f>
        <v/>
      </c>
      <c r="S32" s="4">
        <f>GVega(P32,G32,L32/245,N32,O32,K32)/100*J32 </f>
        <v/>
      </c>
      <c r="T32" s="4">
        <f>GTheta(I32,P32,G32,L32/245,N32,O32,K32)/245*J32 </f>
        <v/>
      </c>
      <c r="U32" s="4">
        <f>GRho(I32,P32,G32,L32/245,N32,O32,K32)/100 </f>
        <v/>
      </c>
      <c r="V32" s="4">
        <f> Q32 * F32 * P32</f>
        <v/>
      </c>
      <c r="W32" s="4">
        <f> R32 * F32 * P32 * P32/100</f>
        <v/>
      </c>
      <c r="X32" s="4">
        <f> S32 * F32 </f>
        <v/>
      </c>
      <c r="Y32" s="4">
        <f> T32 * F32 </f>
        <v/>
      </c>
      <c r="Z32" s="4">
        <f> U32 * F32 </f>
        <v/>
      </c>
      <c r="AA32" s="4" t="s">
        <v>74</v>
      </c>
      <c r="AB32" s="4" t="n">
        <v>4612</v>
      </c>
      <c r="AC32" s="4">
        <f>GDelta(I32,AB32,G32,(L32+1)/245,N32,O32,K32)*J32 </f>
        <v/>
      </c>
      <c r="AD32" s="4">
        <f>GGamma(AB32,G32,(L32+1)/245,N32,O32,K32)*J32 </f>
        <v/>
      </c>
      <c r="AE32" s="4">
        <f>GVega(AB32,G32,(L32+1)/245,N32,O32,K32)/100*J32 </f>
        <v/>
      </c>
      <c r="AF32" s="4">
        <f>GTheta(I32,AB32,G32,(L32+1)/245,N32,O32,K32)/245*J32 </f>
        <v/>
      </c>
      <c r="AG32" s="4">
        <f>GRho(I32,AB32,G32,(L32+1)/245,N32,O32,K32)/100 </f>
        <v/>
      </c>
    </row>
    <row customHeight="1" ht="20" r="33" s="1" spans="1:33">
      <c r="A33" s="4" t="s">
        <v>8</v>
      </c>
      <c r="B33" s="5" t="s">
        <v>86</v>
      </c>
      <c r="C33" s="4" t="s">
        <v>24</v>
      </c>
      <c r="D33" s="4" t="s">
        <v>70</v>
      </c>
      <c r="E33" s="4" t="s">
        <v>81</v>
      </c>
      <c r="F33" s="4" t="n">
        <v>50</v>
      </c>
      <c r="G33" s="4" t="n">
        <v>51220</v>
      </c>
      <c r="H33" s="4" t="n">
        <v>49250</v>
      </c>
      <c r="I33" s="4" t="s">
        <v>79</v>
      </c>
      <c r="J33" s="6" t="n">
        <v>1</v>
      </c>
      <c r="K33" s="7" t="n">
        <v>0.152</v>
      </c>
      <c r="L33" s="4" t="n">
        <v>13</v>
      </c>
      <c r="M33" s="4" t="s">
        <v>73</v>
      </c>
      <c r="N33" s="7" t="n">
        <v>0.045</v>
      </c>
      <c r="O33" s="4" t="n">
        <v>0</v>
      </c>
      <c r="P33" s="4" t="n">
        <v>49390</v>
      </c>
      <c r="Q33" s="4">
        <f>GDelta(I33,P33,G33,L33/245,N33,O33,K33)*J33 </f>
        <v/>
      </c>
      <c r="R33" s="4">
        <f>GGamma(P33,G33,L33/245,N33,O33,K33)*J33 </f>
        <v/>
      </c>
      <c r="S33" s="4">
        <f>GVega(P33,G33,L33/245,N33,O33,K33)/100*J33 </f>
        <v/>
      </c>
      <c r="T33" s="4">
        <f>GTheta(I33,P33,G33,L33/245,N33,O33,K33)/245*J33 </f>
        <v/>
      </c>
      <c r="U33" s="4">
        <f>GRho(I33,P33,G33,L33/245,N33,O33,K33)/100 </f>
        <v/>
      </c>
      <c r="V33" s="4">
        <f> Q33 * F33 * P33</f>
        <v/>
      </c>
      <c r="W33" s="4">
        <f> R33 * F33 * P33 * P33/100</f>
        <v/>
      </c>
      <c r="X33" s="4">
        <f> S33 * F33 </f>
        <v/>
      </c>
      <c r="Y33" s="4">
        <f> T33 * F33 </f>
        <v/>
      </c>
      <c r="Z33" s="4">
        <f> U33 * F33 </f>
        <v/>
      </c>
      <c r="AA33" s="4" t="s">
        <v>74</v>
      </c>
      <c r="AB33" s="4" t="n">
        <v>49420</v>
      </c>
      <c r="AC33" s="4">
        <f>GDelta(I33,AB33,G33,(L33+1)/245,N33,O33,K33)*J33 </f>
        <v/>
      </c>
      <c r="AD33" s="4">
        <f>GGamma(AB33,G33,(L33+1)/245,N33,O33,K33)*J33 </f>
        <v/>
      </c>
      <c r="AE33" s="4">
        <f>GVega(AB33,G33,(L33+1)/245,N33,O33,K33)/100*J33 </f>
        <v/>
      </c>
      <c r="AF33" s="4">
        <f>GTheta(I33,AB33,G33,(L33+1)/245,N33,O33,K33)/245*J33 </f>
        <v/>
      </c>
      <c r="AG33" s="4">
        <f>GRho(I33,AB33,G33,(L33+1)/245,N33,O33,K33)/100 </f>
        <v/>
      </c>
    </row>
    <row customHeight="1" ht="20" r="34" s="1" spans="1:33">
      <c r="A34" s="4" t="s">
        <v>8</v>
      </c>
      <c r="B34" s="5" t="s">
        <v>86</v>
      </c>
      <c r="C34" s="4" t="s">
        <v>24</v>
      </c>
      <c r="D34" s="4" t="s">
        <v>70</v>
      </c>
      <c r="E34" s="4" t="s">
        <v>71</v>
      </c>
      <c r="F34" s="4" t="n">
        <v>50</v>
      </c>
      <c r="G34" s="4" t="n">
        <v>47280</v>
      </c>
      <c r="H34" s="4" t="n">
        <v>49250</v>
      </c>
      <c r="I34" s="4" t="s">
        <v>72</v>
      </c>
      <c r="J34" s="6" t="n">
        <v>1</v>
      </c>
      <c r="K34" s="7" t="n">
        <v>0.152</v>
      </c>
      <c r="L34" s="4" t="n">
        <v>13</v>
      </c>
      <c r="M34" s="4" t="s">
        <v>73</v>
      </c>
      <c r="N34" s="7" t="n">
        <v>0.045</v>
      </c>
      <c r="O34" s="4" t="n">
        <v>0</v>
      </c>
      <c r="P34" s="4" t="n">
        <v>49390</v>
      </c>
      <c r="Q34" s="4">
        <f>GDelta(I34,P34,G34,L34/245,N34,O34,K34)*J34 </f>
        <v/>
      </c>
      <c r="R34" s="4">
        <f>GGamma(P34,G34,L34/245,N34,O34,K34)*J34 </f>
        <v/>
      </c>
      <c r="S34" s="4">
        <f>GVega(P34,G34,L34/245,N34,O34,K34)/100*J34 </f>
        <v/>
      </c>
      <c r="T34" s="4">
        <f>GTheta(I34,P34,G34,L34/245,N34,O34,K34)/245*J34 </f>
        <v/>
      </c>
      <c r="U34" s="4">
        <f>GRho(I34,P34,G34,L34/245,N34,O34,K34)/100 </f>
        <v/>
      </c>
      <c r="V34" s="4">
        <f> Q34 * F34 * P34</f>
        <v/>
      </c>
      <c r="W34" s="4">
        <f> R34 * F34 * P34 * P34/100</f>
        <v/>
      </c>
      <c r="X34" s="4">
        <f> S34 * F34 </f>
        <v/>
      </c>
      <c r="Y34" s="4">
        <f> T34 * F34 </f>
        <v/>
      </c>
      <c r="Z34" s="4">
        <f> U34 * F34 </f>
        <v/>
      </c>
      <c r="AA34" s="4" t="s">
        <v>74</v>
      </c>
      <c r="AB34" s="4" t="n">
        <v>49420</v>
      </c>
      <c r="AC34" s="4">
        <f>GDelta(I34,AB34,G34,(L34+1)/245,N34,O34,K34)*J34 </f>
        <v/>
      </c>
      <c r="AD34" s="4">
        <f>GGamma(AB34,G34,(L34+1)/245,N34,O34,K34)*J34 </f>
        <v/>
      </c>
      <c r="AE34" s="4">
        <f>GVega(AB34,G34,(L34+1)/245,N34,O34,K34)/100*J34 </f>
        <v/>
      </c>
      <c r="AF34" s="4">
        <f>GTheta(I34,AB34,G34,(L34+1)/245,N34,O34,K34)/245*J34 </f>
        <v/>
      </c>
      <c r="AG34" s="4">
        <f>GRho(I34,AB34,G34,(L34+1)/245,N34,O34,K34)/100 </f>
        <v/>
      </c>
    </row>
    <row customHeight="1" ht="20" r="35" s="1" spans="1:33">
      <c r="A35" s="4" t="s">
        <v>9</v>
      </c>
      <c r="B35" s="8" t="s">
        <v>92</v>
      </c>
      <c r="C35" s="4" t="s">
        <v>35</v>
      </c>
      <c r="D35" s="4" t="s">
        <v>77</v>
      </c>
      <c r="E35" s="4" t="s">
        <v>81</v>
      </c>
      <c r="F35" s="4" t="n">
        <v>700</v>
      </c>
      <c r="G35" s="4" t="n">
        <v>6515</v>
      </c>
      <c r="H35" s="4" t="n">
        <v>6515</v>
      </c>
      <c r="I35" s="4" t="s">
        <v>79</v>
      </c>
      <c r="J35" s="6" t="n">
        <v>-1</v>
      </c>
      <c r="K35" s="7" t="n">
        <v>0.113</v>
      </c>
      <c r="L35" s="4" t="n">
        <v>73</v>
      </c>
      <c r="M35" s="4" t="s">
        <v>73</v>
      </c>
      <c r="N35" s="7" t="n">
        <v>0.045</v>
      </c>
      <c r="O35" s="4" t="n">
        <v>0</v>
      </c>
      <c r="P35" s="4" t="n">
        <v>6500</v>
      </c>
      <c r="Q35" s="4">
        <f>GDelta(I35,P35,G35,L35/245,N35,O35,K35)*J35 </f>
        <v/>
      </c>
      <c r="R35" s="4">
        <f>GGamma(P35,G35,L35/245,N35,O35,K35)*J35 </f>
        <v/>
      </c>
      <c r="S35" s="4">
        <f>GVega(P35,G35,L35/245,N35,O35,K35)/100*J35 </f>
        <v/>
      </c>
      <c r="T35" s="4">
        <f>GTheta(I35,P35,G35,L35/245,N35,O35,K35)/245*J35 </f>
        <v/>
      </c>
      <c r="U35" s="4">
        <f>GRho(I35,P35,G35,L35/245,N35,O35,K35)/100 </f>
        <v/>
      </c>
      <c r="V35" s="4">
        <f> Q35 * F35 * P35</f>
        <v/>
      </c>
      <c r="W35" s="4">
        <f> R35 * F35 * P35 * P35/100</f>
        <v/>
      </c>
      <c r="X35" s="4">
        <f> S35 * F35 </f>
        <v/>
      </c>
      <c r="Y35" s="4">
        <f> T35 * F35 </f>
        <v/>
      </c>
      <c r="Z35" s="4">
        <f> U35 * F35 </f>
        <v/>
      </c>
      <c r="AA35" s="4" t="s">
        <v>74</v>
      </c>
      <c r="AB35" s="4" t="n">
        <v>6520</v>
      </c>
      <c r="AC35" s="4">
        <f>GDelta(I35,AB35,G35,(L35+1)/245,N35,O35,K35)*J35 </f>
        <v/>
      </c>
      <c r="AD35" s="4">
        <f>GGamma(AB35,G35,(L35+1)/245,N35,O35,K35)*J35 </f>
        <v/>
      </c>
      <c r="AE35" s="4">
        <f>GVega(AB35,G35,(L35+1)/245,N35,O35,K35)/100*J35 </f>
        <v/>
      </c>
      <c r="AF35" s="4">
        <f>GTheta(I35,AB35,G35,(L35+1)/245,N35,O35,K35)/245*J35 </f>
        <v/>
      </c>
      <c r="AG35" s="4">
        <f>GRho(I35,AB35,G35,(L35+1)/245,N35,O35,K35)/100 </f>
        <v/>
      </c>
    </row>
    <row customHeight="1" ht="20" r="36" s="1" spans="1:33">
      <c r="A36" s="4" t="s">
        <v>9</v>
      </c>
      <c r="B36" s="8" t="s">
        <v>92</v>
      </c>
      <c r="C36" s="4" t="s">
        <v>35</v>
      </c>
      <c r="D36" s="4" t="s">
        <v>77</v>
      </c>
      <c r="E36" s="4" t="s">
        <v>71</v>
      </c>
      <c r="F36" s="4" t="n">
        <v>700</v>
      </c>
      <c r="G36" s="4" t="n">
        <v>6515</v>
      </c>
      <c r="H36" s="4" t="n">
        <v>6515</v>
      </c>
      <c r="I36" s="4" t="s">
        <v>72</v>
      </c>
      <c r="J36" s="6" t="n">
        <v>-1</v>
      </c>
      <c r="K36" s="7" t="n">
        <v>0.113</v>
      </c>
      <c r="L36" s="4" t="n">
        <v>73</v>
      </c>
      <c r="M36" s="4" t="s">
        <v>73</v>
      </c>
      <c r="N36" s="7" t="n">
        <v>0.045</v>
      </c>
      <c r="O36" s="4" t="n">
        <v>0</v>
      </c>
      <c r="P36" s="4" t="n">
        <v>6500</v>
      </c>
      <c r="Q36" s="4">
        <f>GDelta(I36,P36,G36,L36/245,N36,O36,K36)*J36 </f>
        <v/>
      </c>
      <c r="R36" s="4">
        <f>GGamma(P36,G36,L36/245,N36,O36,K36)*J36 </f>
        <v/>
      </c>
      <c r="S36" s="4">
        <f>GVega(P36,G36,L36/245,N36,O36,K36)/100*J36 </f>
        <v/>
      </c>
      <c r="T36" s="4">
        <f>GTheta(I36,P36,G36,L36/245,N36,O36,K36)/245*J36 </f>
        <v/>
      </c>
      <c r="U36" s="4">
        <f>GRho(I36,P36,G36,L36/245,N36,O36,K36)/100 </f>
        <v/>
      </c>
      <c r="V36" s="4">
        <f> Q36 * F36 * P36</f>
        <v/>
      </c>
      <c r="W36" s="4">
        <f> R36 * F36 * P36 * P36/100</f>
        <v/>
      </c>
      <c r="X36" s="4">
        <f> S36 * F36 </f>
        <v/>
      </c>
      <c r="Y36" s="4">
        <f> T36 * F36 </f>
        <v/>
      </c>
      <c r="Z36" s="4">
        <f> U36 * F36 </f>
        <v/>
      </c>
      <c r="AA36" s="4" t="s">
        <v>74</v>
      </c>
      <c r="AB36" s="4" t="n">
        <v>6520</v>
      </c>
      <c r="AC36" s="4">
        <f>GDelta(I36,AB36,G36,(L36+1)/245,N36,O36,K36)*J36 </f>
        <v/>
      </c>
      <c r="AD36" s="4">
        <f>GGamma(AB36,G36,(L36+1)/245,N36,O36,K36)*J36 </f>
        <v/>
      </c>
      <c r="AE36" s="4">
        <f>GVega(AB36,G36,(L36+1)/245,N36,O36,K36)/100*J36 </f>
        <v/>
      </c>
      <c r="AF36" s="4">
        <f>GTheta(I36,AB36,G36,(L36+1)/245,N36,O36,K36)/245*J36 </f>
        <v/>
      </c>
      <c r="AG36" s="4">
        <f>GRho(I36,AB36,G36,(L36+1)/245,N36,O36,K36)/100 </f>
        <v/>
      </c>
    </row>
    <row customHeight="1" ht="20" r="37" s="1" spans="1:33">
      <c r="A37" s="4" t="s">
        <v>11</v>
      </c>
      <c r="B37" s="4" t="s">
        <v>94</v>
      </c>
      <c r="C37" s="4" t="s">
        <v>22</v>
      </c>
      <c r="D37" s="4" t="s">
        <v>70</v>
      </c>
      <c r="E37" s="4" t="s">
        <v>78</v>
      </c>
      <c r="F37" s="4" t="n">
        <v>100000</v>
      </c>
      <c r="G37" s="4" t="n">
        <v>2145</v>
      </c>
      <c r="H37" s="4" t="n">
        <v>1900</v>
      </c>
      <c r="I37" s="4" t="s">
        <v>79</v>
      </c>
      <c r="J37" s="6" t="n">
        <v>1</v>
      </c>
      <c r="K37" s="7" t="n">
        <v>0.15</v>
      </c>
      <c r="L37" s="4" t="n">
        <v>32</v>
      </c>
      <c r="M37" s="4" t="s">
        <v>73</v>
      </c>
      <c r="N37" s="7" t="n">
        <v>0.045</v>
      </c>
      <c r="O37" s="4" t="n">
        <v>0</v>
      </c>
      <c r="P37" s="4" t="n">
        <v>1915</v>
      </c>
      <c r="Q37" s="4">
        <f>GDelta(I37,P37,G37,L37/245,N37,O37,K37)*J37 </f>
        <v/>
      </c>
      <c r="R37" s="4">
        <f>GGamma(P37,G37,L37/245,N37,O37,K37)*J37 </f>
        <v/>
      </c>
      <c r="S37" s="4">
        <f>GVega(P37,G37,L37/245,N37,O37,K37)/100*J37 </f>
        <v/>
      </c>
      <c r="T37" s="4">
        <f>GTheta(I37,P37,G37,L37/245,N37,O37,K37)/245*J37 </f>
        <v/>
      </c>
      <c r="U37" s="4">
        <f>GRho(I37,P37,G37,L37/245,N37,O37,K37)/100 </f>
        <v/>
      </c>
      <c r="V37" s="4">
        <f> Q37 * F37 * P37</f>
        <v/>
      </c>
      <c r="W37" s="4">
        <f> R37 * F37 * P37 * P37/100</f>
        <v/>
      </c>
      <c r="X37" s="4">
        <f> S37 * F37 </f>
        <v/>
      </c>
      <c r="Y37" s="4">
        <f> T37 * F37 </f>
        <v/>
      </c>
      <c r="Z37" s="4">
        <f> U37 * F37 </f>
        <v/>
      </c>
      <c r="AA37" s="4" t="s">
        <v>74</v>
      </c>
      <c r="AB37" s="4" t="n">
        <v>1911</v>
      </c>
      <c r="AC37" s="4">
        <f>GDelta(I37,AB37,G37,(L37+1)/245,N37,O37,K37)*J37 </f>
        <v/>
      </c>
      <c r="AD37" s="4">
        <f>GGamma(AB37,G37,(L37+1)/245,N37,O37,K37)*J37 </f>
        <v/>
      </c>
      <c r="AE37" s="4">
        <f>GVega(AB37,G37,(L37+1)/245,N37,O37,K37)/100*J37 </f>
        <v/>
      </c>
      <c r="AF37" s="4">
        <f>GTheta(I37,AB37,G37,(L37+1)/245,N37,O37,K37)/245*J37 </f>
        <v/>
      </c>
      <c r="AG37" s="4">
        <f>GRho(I37,AB37,G37,(L37+1)/245,N37,O37,K37)/100 </f>
        <v/>
      </c>
    </row>
    <row customHeight="1" ht="20" r="38" s="1" spans="1:33">
      <c r="A38" s="4" t="s">
        <v>9</v>
      </c>
      <c r="B38" s="8" t="s">
        <v>69</v>
      </c>
      <c r="C38" s="4" t="s">
        <v>31</v>
      </c>
      <c r="D38" s="4" t="s">
        <v>70</v>
      </c>
      <c r="E38" s="4" t="s">
        <v>81</v>
      </c>
      <c r="F38" s="4" t="n">
        <v>500</v>
      </c>
      <c r="G38" s="4" t="n">
        <v>12820</v>
      </c>
      <c r="H38" s="4" t="n">
        <v>12820</v>
      </c>
      <c r="I38" s="4" t="s">
        <v>79</v>
      </c>
      <c r="J38" s="6" t="n">
        <v>1</v>
      </c>
      <c r="K38" s="7" t="n">
        <v>0.16</v>
      </c>
      <c r="L38" s="4" t="n">
        <v>5</v>
      </c>
      <c r="M38" s="4" t="s">
        <v>73</v>
      </c>
      <c r="N38" s="7" t="n">
        <v>0.045</v>
      </c>
      <c r="O38" s="4" t="n">
        <v>0</v>
      </c>
      <c r="P38" s="4" t="n">
        <v>12965</v>
      </c>
      <c r="Q38" s="4">
        <f>GDelta(I38,P38,G38,L38/245,N38,O38,K38)*J38 </f>
        <v/>
      </c>
      <c r="R38" s="4">
        <f>GGamma(P38,G38,L38/245,N38,O38,K38)*J38 </f>
        <v/>
      </c>
      <c r="S38" s="4">
        <f>GVega(P38,G38,L38/245,N38,O38,K38)/100*J38 </f>
        <v/>
      </c>
      <c r="T38" s="4">
        <f>GTheta(I38,P38,G38,L38/245,N38,O38,K38)/245*J38 </f>
        <v/>
      </c>
      <c r="U38" s="4">
        <f>GRho(I38,P38,G38,L38/245,N38,O38,K38)/100 </f>
        <v/>
      </c>
      <c r="V38" s="4">
        <f> Q38 * F38 * P38</f>
        <v/>
      </c>
      <c r="W38" s="4">
        <f> R38 * F38 * P38 * P38/100</f>
        <v/>
      </c>
      <c r="X38" s="4">
        <f> S38 * F38 </f>
        <v/>
      </c>
      <c r="Y38" s="4">
        <f> T38 * F38 </f>
        <v/>
      </c>
      <c r="Z38" s="4">
        <f> U38 * F38 </f>
        <v/>
      </c>
      <c r="AA38" s="4" t="s">
        <v>74</v>
      </c>
      <c r="AB38" s="4" t="n">
        <v>12970</v>
      </c>
      <c r="AC38" s="4">
        <f>GDelta(I38,AB38,G38,(L38+1)/245,N38,O38,K38)*J38 </f>
        <v/>
      </c>
      <c r="AD38" s="4">
        <f>GGamma(AB38,G38,(L38+1)/245,N38,O38,K38)*J38 </f>
        <v/>
      </c>
      <c r="AE38" s="4">
        <f>GVega(AB38,G38,(L38+1)/245,N38,O38,K38)/100*J38 </f>
        <v/>
      </c>
      <c r="AF38" s="4">
        <f>GTheta(I38,AB38,G38,(L38+1)/245,N38,O38,K38)/245*J38 </f>
        <v/>
      </c>
      <c r="AG38" s="4">
        <f>GRho(I38,AB38,G38,(L38+1)/245,N38,O38,K38)/100 </f>
        <v/>
      </c>
    </row>
    <row customHeight="1" ht="20" r="39" s="1" spans="1:33">
      <c r="A39" s="4" t="s">
        <v>9</v>
      </c>
      <c r="B39" s="8" t="s">
        <v>69</v>
      </c>
      <c r="C39" s="4" t="s">
        <v>31</v>
      </c>
      <c r="D39" s="4" t="s">
        <v>70</v>
      </c>
      <c r="E39" s="4" t="s">
        <v>71</v>
      </c>
      <c r="F39" s="4" t="n">
        <v>500</v>
      </c>
      <c r="G39" s="4" t="n">
        <v>12820</v>
      </c>
      <c r="H39" s="4" t="n">
        <v>12820</v>
      </c>
      <c r="I39" s="4" t="s">
        <v>72</v>
      </c>
      <c r="J39" s="6" t="n">
        <v>1</v>
      </c>
      <c r="K39" s="7" t="n">
        <v>0.16</v>
      </c>
      <c r="L39" s="4" t="n">
        <v>5</v>
      </c>
      <c r="M39" s="4" t="s">
        <v>73</v>
      </c>
      <c r="N39" s="7" t="n">
        <v>0.045</v>
      </c>
      <c r="O39" s="4" t="n">
        <v>0</v>
      </c>
      <c r="P39" s="4" t="n">
        <v>12965</v>
      </c>
      <c r="Q39" s="4">
        <f>GDelta(I39,P39,G39,L39/245,N39,O39,K39)*J39 </f>
        <v/>
      </c>
      <c r="R39" s="4">
        <f>GGamma(P39,G39,L39/245,N39,O39,K39)*J39 </f>
        <v/>
      </c>
      <c r="S39" s="4">
        <f>GVega(P39,G39,L39/245,N39,O39,K39)/100*J39 </f>
        <v/>
      </c>
      <c r="T39" s="4">
        <f>GTheta(I39,P39,G39,L39/245,N39,O39,K39)/245*J39 </f>
        <v/>
      </c>
      <c r="U39" s="4">
        <f>GRho(I39,P39,G39,L39/245,N39,O39,K39)/100 </f>
        <v/>
      </c>
      <c r="V39" s="4">
        <f> Q39 * F39 * P39</f>
        <v/>
      </c>
      <c r="W39" s="4">
        <f> R39 * F39 * P39 * P39/100</f>
        <v/>
      </c>
      <c r="X39" s="4">
        <f> S39 * F39 </f>
        <v/>
      </c>
      <c r="Y39" s="4">
        <f> T39 * F39 </f>
        <v/>
      </c>
      <c r="Z39" s="4">
        <f> U39 * F39 </f>
        <v/>
      </c>
      <c r="AA39" s="4" t="s">
        <v>74</v>
      </c>
      <c r="AB39" s="4" t="n">
        <v>12970</v>
      </c>
      <c r="AC39" s="4">
        <f>GDelta(I39,AB39,G39,(L39+1)/245,N39,O39,K39)*J39 </f>
        <v/>
      </c>
      <c r="AD39" s="4">
        <f>GGamma(AB39,G39,(L39+1)/245,N39,O39,K39)*J39 </f>
        <v/>
      </c>
      <c r="AE39" s="4">
        <f>GVega(AB39,G39,(L39+1)/245,N39,O39,K39)/100*J39 </f>
        <v/>
      </c>
      <c r="AF39" s="4">
        <f>GTheta(I39,AB39,G39,(L39+1)/245,N39,O39,K39)/245*J39 </f>
        <v/>
      </c>
      <c r="AG39" s="4">
        <f>GRho(I39,AB39,G39,(L39+1)/245,N39,O39,K39)/100 </f>
        <v/>
      </c>
    </row>
    <row customHeight="1" ht="20" r="40" s="1" spans="1:33">
      <c r="A40" s="4" t="s">
        <v>8</v>
      </c>
      <c r="B40" s="5" t="s">
        <v>95</v>
      </c>
      <c r="C40" s="4" t="s">
        <v>26</v>
      </c>
      <c r="D40" s="4" t="s">
        <v>77</v>
      </c>
      <c r="E40" s="4" t="s">
        <v>78</v>
      </c>
      <c r="F40" s="4" t="n">
        <v>1300</v>
      </c>
      <c r="G40" s="4" t="n">
        <v>1845</v>
      </c>
      <c r="H40" s="4" t="n">
        <v>1845</v>
      </c>
      <c r="I40" s="4" t="s">
        <v>79</v>
      </c>
      <c r="J40" s="6" t="n">
        <v>-1</v>
      </c>
      <c r="K40" s="7" t="n">
        <v>0.23</v>
      </c>
      <c r="L40" s="4" t="n">
        <v>14</v>
      </c>
      <c r="M40" s="4" t="s">
        <v>73</v>
      </c>
      <c r="N40" s="7" t="n">
        <v>0.045</v>
      </c>
      <c r="O40" s="4" t="n">
        <v>0</v>
      </c>
      <c r="P40" s="4" t="n">
        <v>1879</v>
      </c>
      <c r="Q40" s="4">
        <f>GDelta(I40,P40,G40,L40/245,N40,O40,K40)*J40 </f>
        <v/>
      </c>
      <c r="R40" s="4">
        <f>GGamma(P40,G40,L40/245,N40,O40,K40)*J40 </f>
        <v/>
      </c>
      <c r="S40" s="4">
        <f>GVega(P40,G40,L40/245,N40,O40,K40)/100*J40 </f>
        <v/>
      </c>
      <c r="T40" s="4">
        <f>GTheta(I40,P40,G40,L40/245,N40,O40,K40)/245*J40 </f>
        <v/>
      </c>
      <c r="U40" s="4">
        <f>GRho(I40,P40,G40,L40/245,N40,O40,K40)/100 </f>
        <v/>
      </c>
      <c r="V40" s="4">
        <f> Q40 * F40 * P40</f>
        <v/>
      </c>
      <c r="W40" s="4">
        <f> R40 * F40 * P40 * P40/100</f>
        <v/>
      </c>
      <c r="X40" s="4">
        <f> S40 * F40 </f>
        <v/>
      </c>
      <c r="Y40" s="4">
        <f> T40 * F40 </f>
        <v/>
      </c>
      <c r="Z40" s="4">
        <f> U40 * F40 </f>
        <v/>
      </c>
      <c r="AA40" s="4" t="s">
        <v>74</v>
      </c>
      <c r="AB40" s="4" t="n">
        <v>1871.5</v>
      </c>
      <c r="AC40" s="4">
        <f>GDelta(I40,AB40,G40,(L40+1)/245,N40,O40,K40)*J40 </f>
        <v/>
      </c>
      <c r="AD40" s="4">
        <f>GGamma(AB40,G40,(L40+1)/245,N40,O40,K40)*J40 </f>
        <v/>
      </c>
      <c r="AE40" s="4">
        <f>GVega(AB40,G40,(L40+1)/245,N40,O40,K40)/100*J40 </f>
        <v/>
      </c>
      <c r="AF40" s="4">
        <f>GTheta(I40,AB40,G40,(L40+1)/245,N40,O40,K40)/245*J40 </f>
        <v/>
      </c>
      <c r="AG40" s="4">
        <f>GRho(I40,AB40,G40,(L40+1)/245,N40,O40,K40)/100 </f>
        <v/>
      </c>
    </row>
    <row customHeight="1" ht="20" r="41" s="1" spans="1:33">
      <c r="A41" s="4" t="s">
        <v>8</v>
      </c>
      <c r="B41" s="5" t="s">
        <v>95</v>
      </c>
      <c r="C41" s="4" t="s">
        <v>26</v>
      </c>
      <c r="D41" s="4" t="s">
        <v>77</v>
      </c>
      <c r="E41" s="4" t="s">
        <v>80</v>
      </c>
      <c r="F41" s="4" t="n">
        <v>1300</v>
      </c>
      <c r="G41" s="4" t="n">
        <v>1845</v>
      </c>
      <c r="H41" s="4" t="n">
        <v>1845</v>
      </c>
      <c r="I41" s="4" t="s">
        <v>72</v>
      </c>
      <c r="J41" s="6" t="n">
        <v>-1</v>
      </c>
      <c r="K41" s="7" t="n">
        <v>0.23</v>
      </c>
      <c r="L41" s="4" t="n">
        <v>14</v>
      </c>
      <c r="M41" s="4" t="s">
        <v>73</v>
      </c>
      <c r="N41" s="7" t="n">
        <v>0.045</v>
      </c>
      <c r="O41" s="4" t="n">
        <v>0</v>
      </c>
      <c r="P41" s="4" t="n">
        <v>1879</v>
      </c>
      <c r="Q41" s="4">
        <f>GDelta(I41,P41,G41,L41/245,N41,O41,K41)*J41 </f>
        <v/>
      </c>
      <c r="R41" s="4">
        <f>GGamma(P41,G41,L41/245,N41,O41,K41)*J41 </f>
        <v/>
      </c>
      <c r="S41" s="4">
        <f>GVega(P41,G41,L41/245,N41,O41,K41)/100*J41 </f>
        <v/>
      </c>
      <c r="T41" s="4">
        <f>GTheta(I41,P41,G41,L41/245,N41,O41,K41)/245*J41 </f>
        <v/>
      </c>
      <c r="U41" s="4">
        <f>GRho(I41,P41,G41,L41/245,N41,O41,K41)/100 </f>
        <v/>
      </c>
      <c r="V41" s="4">
        <f> Q41 * F41 * P41</f>
        <v/>
      </c>
      <c r="W41" s="4">
        <f> R41 * F41 * P41 * P41/100</f>
        <v/>
      </c>
      <c r="X41" s="4">
        <f> S41 * F41 </f>
        <v/>
      </c>
      <c r="Y41" s="4">
        <f> T41 * F41 </f>
        <v/>
      </c>
      <c r="Z41" s="4">
        <f> U41 * F41 </f>
        <v/>
      </c>
      <c r="AA41" s="4" t="s">
        <v>74</v>
      </c>
      <c r="AB41" s="4" t="n">
        <v>1871.5</v>
      </c>
      <c r="AC41" s="4">
        <f>GDelta(I41,AB41,G41,(L41+1)/245,N41,O41,K41)*J41 </f>
        <v/>
      </c>
      <c r="AD41" s="4">
        <f>GGamma(AB41,G41,(L41+1)/245,N41,O41,K41)*J41 </f>
        <v/>
      </c>
      <c r="AE41" s="4">
        <f>GVega(AB41,G41,(L41+1)/245,N41,O41,K41)/100*J41 </f>
        <v/>
      </c>
      <c r="AF41" s="4">
        <f>GTheta(I41,AB41,G41,(L41+1)/245,N41,O41,K41)/245*J41 </f>
        <v/>
      </c>
      <c r="AG41" s="4">
        <f>GRho(I41,AB41,G41,(L41+1)/245,N41,O41,K41)/100 </f>
        <v/>
      </c>
    </row>
    <row customHeight="1" ht="20" r="42" s="1" spans="1:33">
      <c r="A42" s="4" t="s">
        <v>9</v>
      </c>
      <c r="B42" s="8" t="s">
        <v>92</v>
      </c>
      <c r="C42" s="4" t="s">
        <v>31</v>
      </c>
      <c r="D42" s="4" t="s">
        <v>77</v>
      </c>
      <c r="E42" s="4" t="s">
        <v>81</v>
      </c>
      <c r="F42" s="4" t="n">
        <v>500</v>
      </c>
      <c r="G42" s="4" t="n">
        <v>12810</v>
      </c>
      <c r="H42" s="4" t="n">
        <v>12810</v>
      </c>
      <c r="I42" s="4" t="s">
        <v>79</v>
      </c>
      <c r="J42" s="6" t="n">
        <v>-1</v>
      </c>
      <c r="K42" s="7" t="n">
        <v>0.173</v>
      </c>
      <c r="L42" s="4" t="n">
        <v>35</v>
      </c>
      <c r="M42" s="4" t="s">
        <v>73</v>
      </c>
      <c r="N42" s="7" t="n">
        <v>0.045</v>
      </c>
      <c r="O42" s="4" t="n">
        <v>0</v>
      </c>
      <c r="P42" s="4" t="n">
        <v>12965</v>
      </c>
      <c r="Q42" s="4">
        <f>GDelta(I42,P42,G42,L42/245,N42,O42,K42)*J42 </f>
        <v/>
      </c>
      <c r="R42" s="4">
        <f>GGamma(P42,G42,L42/245,N42,O42,K42)*J42 </f>
        <v/>
      </c>
      <c r="S42" s="4">
        <f>GVega(P42,G42,L42/245,N42,O42,K42)/100*J42 </f>
        <v/>
      </c>
      <c r="T42" s="4">
        <f>GTheta(I42,P42,G42,L42/245,N42,O42,K42)/245*J42 </f>
        <v/>
      </c>
      <c r="U42" s="4">
        <f>GRho(I42,P42,G42,L42/245,N42,O42,K42)/100 </f>
        <v/>
      </c>
      <c r="V42" s="4">
        <f> Q42 * F42 * P42</f>
        <v/>
      </c>
      <c r="W42" s="4">
        <f> R42 * F42 * P42 * P42/100</f>
        <v/>
      </c>
      <c r="X42" s="4">
        <f> S42 * F42 </f>
        <v/>
      </c>
      <c r="Y42" s="4">
        <f> T42 * F42 </f>
        <v/>
      </c>
      <c r="Z42" s="4">
        <f> U42 * F42 </f>
        <v/>
      </c>
      <c r="AA42" s="4" t="s">
        <v>74</v>
      </c>
      <c r="AB42" s="4" t="n">
        <v>12970</v>
      </c>
      <c r="AC42" s="4">
        <f>GDelta(I42,AB42,G42,(L42+1)/245,N42,O42,K42)*J42 </f>
        <v/>
      </c>
      <c r="AD42" s="4">
        <f>GGamma(AB42,G42,(L42+1)/245,N42,O42,K42)*J42 </f>
        <v/>
      </c>
      <c r="AE42" s="4">
        <f>GVega(AB42,G42,(L42+1)/245,N42,O42,K42)/100*J42 </f>
        <v/>
      </c>
      <c r="AF42" s="4">
        <f>GTheta(I42,AB42,G42,(L42+1)/245,N42,O42,K42)/245*J42 </f>
        <v/>
      </c>
      <c r="AG42" s="4">
        <f>GRho(I42,AB42,G42,(L42+1)/245,N42,O42,K42)/100 </f>
        <v/>
      </c>
    </row>
    <row customHeight="1" ht="20" r="43" s="1" spans="1:33">
      <c r="A43" s="4" t="s">
        <v>9</v>
      </c>
      <c r="B43" s="8" t="s">
        <v>92</v>
      </c>
      <c r="C43" s="4" t="s">
        <v>31</v>
      </c>
      <c r="D43" s="4" t="s">
        <v>77</v>
      </c>
      <c r="E43" s="4" t="s">
        <v>71</v>
      </c>
      <c r="F43" s="4" t="n">
        <v>500</v>
      </c>
      <c r="G43" s="4" t="n">
        <v>12810</v>
      </c>
      <c r="H43" s="4" t="n">
        <v>12810</v>
      </c>
      <c r="I43" s="4" t="s">
        <v>72</v>
      </c>
      <c r="J43" s="6" t="n">
        <v>-1</v>
      </c>
      <c r="K43" s="7" t="n">
        <v>0.173</v>
      </c>
      <c r="L43" s="4" t="n">
        <v>35</v>
      </c>
      <c r="M43" s="4" t="s">
        <v>73</v>
      </c>
      <c r="N43" s="7" t="n">
        <v>0.045</v>
      </c>
      <c r="O43" s="4" t="n">
        <v>0</v>
      </c>
      <c r="P43" s="4" t="n">
        <v>12965</v>
      </c>
      <c r="Q43" s="4">
        <f>GDelta(I43,P43,G43,L43/245,N43,O43,K43)*J43 </f>
        <v/>
      </c>
      <c r="R43" s="4">
        <f>GGamma(P43,G43,L43/245,N43,O43,K43)*J43 </f>
        <v/>
      </c>
      <c r="S43" s="4">
        <f>GVega(P43,G43,L43/245,N43,O43,K43)/100*J43 </f>
        <v/>
      </c>
      <c r="T43" s="4">
        <f>GTheta(I43,P43,G43,L43/245,N43,O43,K43)/245*J43 </f>
        <v/>
      </c>
      <c r="U43" s="4">
        <f>GRho(I43,P43,G43,L43/245,N43,O43,K43)/100 </f>
        <v/>
      </c>
      <c r="V43" s="4">
        <f> Q43 * F43 * P43</f>
        <v/>
      </c>
      <c r="W43" s="4">
        <f> R43 * F43 * P43 * P43/100</f>
        <v/>
      </c>
      <c r="X43" s="4">
        <f> S43 * F43 </f>
        <v/>
      </c>
      <c r="Y43" s="4">
        <f> T43 * F43 </f>
        <v/>
      </c>
      <c r="Z43" s="4">
        <f> U43 * F43 </f>
        <v/>
      </c>
      <c r="AA43" s="4" t="s">
        <v>74</v>
      </c>
      <c r="AB43" s="4" t="n">
        <v>12970</v>
      </c>
      <c r="AC43" s="4">
        <f>GDelta(I43,AB43,G43,(L43+1)/245,N43,O43,K43)*J43 </f>
        <v/>
      </c>
      <c r="AD43" s="4">
        <f>GGamma(AB43,G43,(L43+1)/245,N43,O43,K43)*J43 </f>
        <v/>
      </c>
      <c r="AE43" s="4">
        <f>GVega(AB43,G43,(L43+1)/245,N43,O43,K43)/100*J43 </f>
        <v/>
      </c>
      <c r="AF43" s="4">
        <f>GTheta(I43,AB43,G43,(L43+1)/245,N43,O43,K43)/245*J43 </f>
        <v/>
      </c>
      <c r="AG43" s="4">
        <f>GRho(I43,AB43,G43,(L43+1)/245,N43,O43,K43)/100 </f>
        <v/>
      </c>
    </row>
    <row customHeight="1" ht="20" r="44" s="1" spans="1:33">
      <c r="A44" s="4" t="s">
        <v>9</v>
      </c>
      <c r="B44" s="8" t="s">
        <v>96</v>
      </c>
      <c r="C44" s="4" t="s">
        <v>35</v>
      </c>
      <c r="D44" s="4" t="s">
        <v>77</v>
      </c>
      <c r="E44" s="4" t="s">
        <v>81</v>
      </c>
      <c r="F44" s="4" t="n">
        <v>350</v>
      </c>
      <c r="G44" s="4" t="n">
        <v>6510</v>
      </c>
      <c r="H44" s="4" t="n">
        <v>6510</v>
      </c>
      <c r="I44" s="4" t="s">
        <v>79</v>
      </c>
      <c r="J44" s="6" t="n">
        <v>-1</v>
      </c>
      <c r="K44" s="7" t="n">
        <v>0.11</v>
      </c>
      <c r="L44" s="4" t="n">
        <v>17</v>
      </c>
      <c r="M44" s="4" t="s">
        <v>73</v>
      </c>
      <c r="N44" s="7" t="n">
        <v>0.045</v>
      </c>
      <c r="O44" s="4" t="n">
        <v>0</v>
      </c>
      <c r="P44" s="4" t="n">
        <v>6500</v>
      </c>
      <c r="Q44" s="4">
        <f>GDelta(I44,P44,G44,L44/245,N44,O44,K44)*J44 </f>
        <v/>
      </c>
      <c r="R44" s="4">
        <f>GGamma(P44,G44,L44/245,N44,O44,K44)*J44 </f>
        <v/>
      </c>
      <c r="S44" s="4">
        <f>GVega(P44,G44,L44/245,N44,O44,K44)/100*J44 </f>
        <v/>
      </c>
      <c r="T44" s="4">
        <f>GTheta(I44,P44,G44,L44/245,N44,O44,K44)/245*J44 </f>
        <v/>
      </c>
      <c r="U44" s="4">
        <f>GRho(I44,P44,G44,L44/245,N44,O44,K44)/100 </f>
        <v/>
      </c>
      <c r="V44" s="4">
        <f> Q44 * F44 * P44</f>
        <v/>
      </c>
      <c r="W44" s="4">
        <f> R44 * F44 * P44 * P44/100</f>
        <v/>
      </c>
      <c r="X44" s="4">
        <f> S44 * F44 </f>
        <v/>
      </c>
      <c r="Y44" s="4">
        <f> T44 * F44 </f>
        <v/>
      </c>
      <c r="Z44" s="4">
        <f> U44 * F44 </f>
        <v/>
      </c>
      <c r="AA44" s="4" t="s">
        <v>74</v>
      </c>
      <c r="AB44" s="4" t="n">
        <v>6520</v>
      </c>
      <c r="AC44" s="4">
        <f>GDelta(I44,AB44,G44,(L44+1)/245,N44,O44,K44)*J44 </f>
        <v/>
      </c>
      <c r="AD44" s="4">
        <f>GGamma(AB44,G44,(L44+1)/245,N44,O44,K44)*J44 </f>
        <v/>
      </c>
      <c r="AE44" s="4">
        <f>GVega(AB44,G44,(L44+1)/245,N44,O44,K44)/100*J44 </f>
        <v/>
      </c>
      <c r="AF44" s="4">
        <f>GTheta(I44,AB44,G44,(L44+1)/245,N44,O44,K44)/245*J44 </f>
        <v/>
      </c>
      <c r="AG44" s="4">
        <f>GRho(I44,AB44,G44,(L44+1)/245,N44,O44,K44)/100 </f>
        <v/>
      </c>
    </row>
    <row customHeight="1" ht="20" r="45" s="1" spans="1:33">
      <c r="A45" s="4" t="s">
        <v>9</v>
      </c>
      <c r="B45" s="8" t="s">
        <v>96</v>
      </c>
      <c r="C45" s="4" t="s">
        <v>35</v>
      </c>
      <c r="D45" s="4" t="s">
        <v>77</v>
      </c>
      <c r="E45" s="4" t="s">
        <v>71</v>
      </c>
      <c r="F45" s="4" t="n">
        <v>350</v>
      </c>
      <c r="G45" s="4" t="n">
        <v>6510</v>
      </c>
      <c r="H45" s="4" t="n">
        <v>6510</v>
      </c>
      <c r="I45" s="4" t="s">
        <v>72</v>
      </c>
      <c r="J45" s="6" t="n">
        <v>-1</v>
      </c>
      <c r="K45" s="7" t="n">
        <v>0.11</v>
      </c>
      <c r="L45" s="4" t="n">
        <v>17</v>
      </c>
      <c r="M45" s="4" t="s">
        <v>73</v>
      </c>
      <c r="N45" s="7" t="n">
        <v>0.045</v>
      </c>
      <c r="O45" s="4" t="n">
        <v>0</v>
      </c>
      <c r="P45" s="4" t="n">
        <v>6500</v>
      </c>
      <c r="Q45" s="4">
        <f>GDelta(I45,P45,G45,L45/245,N45,O45,K45)*J45 </f>
        <v/>
      </c>
      <c r="R45" s="4">
        <f>GGamma(P45,G45,L45/245,N45,O45,K45)*J45 </f>
        <v/>
      </c>
      <c r="S45" s="4">
        <f>GVega(P45,G45,L45/245,N45,O45,K45)/100*J45 </f>
        <v/>
      </c>
      <c r="T45" s="4">
        <f>GTheta(I45,P45,G45,L45/245,N45,O45,K45)/245*J45 </f>
        <v/>
      </c>
      <c r="U45" s="4">
        <f>GRho(I45,P45,G45,L45/245,N45,O45,K45)/100 </f>
        <v/>
      </c>
      <c r="V45" s="4">
        <f> Q45 * F45 * P45</f>
        <v/>
      </c>
      <c r="W45" s="4">
        <f> R45 * F45 * P45 * P45/100</f>
        <v/>
      </c>
      <c r="X45" s="4">
        <f> S45 * F45 </f>
        <v/>
      </c>
      <c r="Y45" s="4">
        <f> T45 * F45 </f>
        <v/>
      </c>
      <c r="Z45" s="4">
        <f> U45 * F45 </f>
        <v/>
      </c>
      <c r="AA45" s="4" t="s">
        <v>74</v>
      </c>
      <c r="AB45" s="4" t="n">
        <v>6520</v>
      </c>
      <c r="AC45" s="4">
        <f>GDelta(I45,AB45,G45,(L45+1)/245,N45,O45,K45)*J45 </f>
        <v/>
      </c>
      <c r="AD45" s="4">
        <f>GGamma(AB45,G45,(L45+1)/245,N45,O45,K45)*J45 </f>
        <v/>
      </c>
      <c r="AE45" s="4">
        <f>GVega(AB45,G45,(L45+1)/245,N45,O45,K45)/100*J45 </f>
        <v/>
      </c>
      <c r="AF45" s="4">
        <f>GTheta(I45,AB45,G45,(L45+1)/245,N45,O45,K45)/245*J45 </f>
        <v/>
      </c>
      <c r="AG45" s="4">
        <f>GRho(I45,AB45,G45,(L45+1)/245,N45,O45,K45)/100 </f>
        <v/>
      </c>
    </row>
    <row customHeight="1" ht="20" r="46" s="1" spans="1:33">
      <c r="A46" s="4" t="s">
        <v>9</v>
      </c>
      <c r="B46" s="8" t="s">
        <v>97</v>
      </c>
      <c r="C46" s="4" t="s">
        <v>35</v>
      </c>
      <c r="D46" s="4" t="s">
        <v>77</v>
      </c>
      <c r="E46" s="4" t="s">
        <v>81</v>
      </c>
      <c r="F46" s="4" t="n">
        <v>350</v>
      </c>
      <c r="G46" s="4" t="n">
        <v>6510</v>
      </c>
      <c r="H46" s="4" t="n">
        <v>6510</v>
      </c>
      <c r="I46" s="4" t="s">
        <v>79</v>
      </c>
      <c r="J46" s="6" t="n">
        <v>-1</v>
      </c>
      <c r="K46" s="7" t="n">
        <v>0.11</v>
      </c>
      <c r="L46" s="4" t="n">
        <v>17</v>
      </c>
      <c r="M46" s="4" t="s">
        <v>73</v>
      </c>
      <c r="N46" s="7" t="n">
        <v>0.045</v>
      </c>
      <c r="O46" s="4" t="n">
        <v>0</v>
      </c>
      <c r="P46" s="4" t="n">
        <v>6500</v>
      </c>
      <c r="Q46" s="4">
        <f>GDelta(I46,P46,G46,L46/245,N46,O46,K46)*J46 </f>
        <v/>
      </c>
      <c r="R46" s="4">
        <f>GGamma(P46,G46,L46/245,N46,O46,K46)*J46 </f>
        <v/>
      </c>
      <c r="S46" s="4">
        <f>GVega(P46,G46,L46/245,N46,O46,K46)/100*J46 </f>
        <v/>
      </c>
      <c r="T46" s="4">
        <f>GTheta(I46,P46,G46,L46/245,N46,O46,K46)/245*J46 </f>
        <v/>
      </c>
      <c r="U46" s="4">
        <f>GRho(I46,P46,G46,L46/245,N46,O46,K46)/100 </f>
        <v/>
      </c>
      <c r="V46" s="4">
        <f> Q46 * F46 * P46</f>
        <v/>
      </c>
      <c r="W46" s="4">
        <f> R46 * F46 * P46 * P46/100</f>
        <v/>
      </c>
      <c r="X46" s="4">
        <f> S46 * F46 </f>
        <v/>
      </c>
      <c r="Y46" s="4">
        <f> T46 * F46 </f>
        <v/>
      </c>
      <c r="Z46" s="4">
        <f> U46 * F46 </f>
        <v/>
      </c>
      <c r="AA46" s="4" t="s">
        <v>74</v>
      </c>
      <c r="AB46" s="4" t="n">
        <v>6520</v>
      </c>
      <c r="AC46" s="4">
        <f>GDelta(I46,AB46,G46,(L46+1)/245,N46,O46,K46)*J46 </f>
        <v/>
      </c>
      <c r="AD46" s="4">
        <f>GGamma(AB46,G46,(L46+1)/245,N46,O46,K46)*J46 </f>
        <v/>
      </c>
      <c r="AE46" s="4">
        <f>GVega(AB46,G46,(L46+1)/245,N46,O46,K46)/100*J46 </f>
        <v/>
      </c>
      <c r="AF46" s="4">
        <f>GTheta(I46,AB46,G46,(L46+1)/245,N46,O46,K46)/245*J46 </f>
        <v/>
      </c>
      <c r="AG46" s="4">
        <f>GRho(I46,AB46,G46,(L46+1)/245,N46,O46,K46)/100 </f>
        <v/>
      </c>
    </row>
    <row customHeight="1" ht="20" r="47" s="1" spans="1:33">
      <c r="A47" s="4" t="s">
        <v>9</v>
      </c>
      <c r="B47" s="8" t="s">
        <v>97</v>
      </c>
      <c r="C47" s="4" t="s">
        <v>35</v>
      </c>
      <c r="D47" s="4" t="s">
        <v>77</v>
      </c>
      <c r="E47" s="4" t="s">
        <v>71</v>
      </c>
      <c r="F47" s="4" t="n">
        <v>350</v>
      </c>
      <c r="G47" s="4" t="n">
        <v>6510</v>
      </c>
      <c r="H47" s="4" t="n">
        <v>6510</v>
      </c>
      <c r="I47" s="4" t="s">
        <v>72</v>
      </c>
      <c r="J47" s="6" t="n">
        <v>-1</v>
      </c>
      <c r="K47" s="7" t="n">
        <v>0.11</v>
      </c>
      <c r="L47" s="4" t="n">
        <v>17</v>
      </c>
      <c r="M47" s="4" t="s">
        <v>73</v>
      </c>
      <c r="N47" s="7" t="n">
        <v>0.045</v>
      </c>
      <c r="O47" s="4" t="n">
        <v>0</v>
      </c>
      <c r="P47" s="4" t="n">
        <v>6500</v>
      </c>
      <c r="Q47" s="4">
        <f>GDelta(I47,P47,G47,L47/245,N47,O47,K47)*J47 </f>
        <v/>
      </c>
      <c r="R47" s="4">
        <f>GGamma(P47,G47,L47/245,N47,O47,K47)*J47 </f>
        <v/>
      </c>
      <c r="S47" s="4">
        <f>GVega(P47,G47,L47/245,N47,O47,K47)/100*J47 </f>
        <v/>
      </c>
      <c r="T47" s="4">
        <f>GTheta(I47,P47,G47,L47/245,N47,O47,K47)/245*J47 </f>
        <v/>
      </c>
      <c r="U47" s="4">
        <f>GRho(I47,P47,G47,L47/245,N47,O47,K47)/100 </f>
        <v/>
      </c>
      <c r="V47" s="4">
        <f> Q47 * F47 * P47</f>
        <v/>
      </c>
      <c r="W47" s="4">
        <f> R47 * F47 * P47 * P47/100</f>
        <v/>
      </c>
      <c r="X47" s="4">
        <f> S47 * F47 </f>
        <v/>
      </c>
      <c r="Y47" s="4">
        <f> T47 * F47 </f>
        <v/>
      </c>
      <c r="Z47" s="4">
        <f> U47 * F47 </f>
        <v/>
      </c>
      <c r="AA47" s="4" t="s">
        <v>74</v>
      </c>
      <c r="AB47" s="4" t="n">
        <v>6520</v>
      </c>
      <c r="AC47" s="4">
        <f>GDelta(I47,AB47,G47,(L47+1)/245,N47,O47,K47)*J47 </f>
        <v/>
      </c>
      <c r="AD47" s="4">
        <f>GGamma(AB47,G47,(L47+1)/245,N47,O47,K47)*J47 </f>
        <v/>
      </c>
      <c r="AE47" s="4">
        <f>GVega(AB47,G47,(L47+1)/245,N47,O47,K47)/100*J47 </f>
        <v/>
      </c>
      <c r="AF47" s="4">
        <f>GTheta(I47,AB47,G47,(L47+1)/245,N47,O47,K47)/245*J47 </f>
        <v/>
      </c>
      <c r="AG47" s="4">
        <f>GRho(I47,AB47,G47,(L47+1)/245,N47,O47,K47)/100 </f>
        <v/>
      </c>
    </row>
    <row customHeight="1" ht="20" r="48" s="1" spans="1:33">
      <c r="A48" s="9" t="s">
        <v>8</v>
      </c>
      <c r="B48" s="9" t="s">
        <v>98</v>
      </c>
      <c r="C48" s="9" t="s">
        <v>27</v>
      </c>
      <c r="D48" s="9" t="s">
        <v>77</v>
      </c>
      <c r="E48" s="9" t="s">
        <v>99</v>
      </c>
      <c r="F48" s="9" t="n">
        <v>17500</v>
      </c>
      <c r="G48" s="9" t="n">
        <v>1906.72</v>
      </c>
      <c r="H48" s="9" t="n">
        <v>1906.72</v>
      </c>
      <c r="I48" s="9" t="s">
        <v>72</v>
      </c>
      <c r="J48" s="10" t="n">
        <v>-1</v>
      </c>
      <c r="K48" s="11" t="s">
        <v>100</v>
      </c>
      <c r="L48" s="9" t="n">
        <v>81</v>
      </c>
      <c r="M48" s="9" t="s">
        <v>73</v>
      </c>
      <c r="N48" s="11" t="n">
        <v>0.045</v>
      </c>
      <c r="O48" s="9" t="n">
        <v>0</v>
      </c>
      <c r="P48" s="9" t="n">
        <v>0</v>
      </c>
      <c r="Q48" s="9">
        <f>GDelta(I48,P48,G48,L48/245,N48,O48,K48)*J48 </f>
        <v/>
      </c>
      <c r="R48" s="9">
        <f>GGamma(P48,G48,L48/245,N48,O48,K48)*J48 </f>
        <v/>
      </c>
      <c r="S48" s="9">
        <f>GVega(P48,G48,L48/245,N48,O48,K48)/100*J48 </f>
        <v/>
      </c>
      <c r="T48" s="9">
        <f>GTheta(I48,P48,G48,L48/245,N48,O48,K48)/245*J48 </f>
        <v/>
      </c>
      <c r="U48" s="9">
        <f>GRho(I48,P48,G48,L48/245,N48,O48,K48)/100 </f>
        <v/>
      </c>
      <c r="V48" s="9">
        <f> Q48 * F48 * P48</f>
        <v/>
      </c>
      <c r="W48" s="9">
        <f> R48 * F48 * P48 * P48/100</f>
        <v/>
      </c>
      <c r="X48" s="9">
        <f> S48 * F48 </f>
        <v/>
      </c>
      <c r="Y48" s="9">
        <f> T48 * F48 </f>
        <v/>
      </c>
      <c r="Z48" s="9">
        <f> U48 * F48 </f>
        <v/>
      </c>
      <c r="AA48" s="9" t="s">
        <v>74</v>
      </c>
      <c r="AB48" s="9" t="n">
        <v>0</v>
      </c>
      <c r="AC48" s="9">
        <f>GDelta(I48,AB48,G48,(L48+1)/245,N48,O48,K48)*J48 </f>
        <v/>
      </c>
      <c r="AD48" s="9">
        <f>GGamma(AB48,G48,(L48+1)/245,N48,O48,K48)*J48 </f>
        <v/>
      </c>
      <c r="AE48" s="9">
        <f>GVega(AB48,G48,(L48+1)/245,N48,O48,K48)/100*J48 </f>
        <v/>
      </c>
      <c r="AF48" s="9">
        <f>GTheta(I48,AB48,G48,(L48+1)/245,N48,O48,K48)/245*J48 </f>
        <v/>
      </c>
      <c r="AG48" s="9">
        <f>GRho(I48,AB48,G48,(L48+1)/245,N48,O48,K48)/100 </f>
        <v/>
      </c>
    </row>
    <row customHeight="1" ht="20" r="49" s="1" spans="1:33">
      <c r="A49" s="4" t="s">
        <v>8</v>
      </c>
      <c r="B49" s="5" t="s">
        <v>86</v>
      </c>
      <c r="C49" s="4" t="s">
        <v>24</v>
      </c>
      <c r="D49" s="4" t="s">
        <v>70</v>
      </c>
      <c r="E49" s="4" t="s">
        <v>81</v>
      </c>
      <c r="F49" s="4" t="n">
        <v>50</v>
      </c>
      <c r="G49" s="4" t="n">
        <v>51400</v>
      </c>
      <c r="H49" s="4" t="n">
        <v>49420</v>
      </c>
      <c r="I49" s="4" t="s">
        <v>79</v>
      </c>
      <c r="J49" s="6" t="n">
        <v>1</v>
      </c>
      <c r="K49" s="7" t="n">
        <v>0.152</v>
      </c>
      <c r="L49" s="4" t="n">
        <v>16</v>
      </c>
      <c r="M49" s="4" t="s">
        <v>73</v>
      </c>
      <c r="N49" s="7" t="n">
        <v>0.045</v>
      </c>
      <c r="O49" s="4" t="n">
        <v>0</v>
      </c>
      <c r="P49" s="4" t="n">
        <v>49390</v>
      </c>
      <c r="Q49" s="4">
        <f>GDelta(I49,P49,G49,L49/245,N49,O49,K49)*J49 </f>
        <v/>
      </c>
      <c r="R49" s="4">
        <f>GGamma(P49,G49,L49/245,N49,O49,K49)*J49 </f>
        <v/>
      </c>
      <c r="S49" s="4">
        <f>GVega(P49,G49,L49/245,N49,O49,K49)/100*J49 </f>
        <v/>
      </c>
      <c r="T49" s="4">
        <f>GTheta(I49,P49,G49,L49/245,N49,O49,K49)/245*J49 </f>
        <v/>
      </c>
      <c r="U49" s="4">
        <f>GRho(I49,P49,G49,L49/245,N49,O49,K49)/100 </f>
        <v/>
      </c>
      <c r="V49" s="4">
        <f> Q49 * F49 * P49</f>
        <v/>
      </c>
      <c r="W49" s="4">
        <f> R49 * F49 * P49 * P49/100</f>
        <v/>
      </c>
      <c r="X49" s="4">
        <f> S49 * F49 </f>
        <v/>
      </c>
      <c r="Y49" s="4">
        <f> T49 * F49 </f>
        <v/>
      </c>
      <c r="Z49" s="4">
        <f> U49 * F49 </f>
        <v/>
      </c>
      <c r="AA49" s="4" t="s">
        <v>74</v>
      </c>
      <c r="AB49" s="4" t="n">
        <v>49420</v>
      </c>
      <c r="AC49" s="4">
        <f>GDelta(I49,AB49,G49,(L49+1)/245,N49,O49,K49)*J49 </f>
        <v/>
      </c>
      <c r="AD49" s="4">
        <f>GGamma(AB49,G49,(L49+1)/245,N49,O49,K49)*J49 </f>
        <v/>
      </c>
      <c r="AE49" s="4">
        <f>GVega(AB49,G49,(L49+1)/245,N49,O49,K49)/100*J49 </f>
        <v/>
      </c>
      <c r="AF49" s="4">
        <f>GTheta(I49,AB49,G49,(L49+1)/245,N49,O49,K49)/245*J49 </f>
        <v/>
      </c>
      <c r="AG49" s="4">
        <f>GRho(I49,AB49,G49,(L49+1)/245,N49,O49,K49)/100 </f>
        <v/>
      </c>
    </row>
    <row customHeight="1" ht="20" r="50" s="1" spans="1:33">
      <c r="A50" s="4" t="s">
        <v>8</v>
      </c>
      <c r="B50" s="5" t="s">
        <v>86</v>
      </c>
      <c r="C50" s="4" t="s">
        <v>24</v>
      </c>
      <c r="D50" s="4" t="s">
        <v>70</v>
      </c>
      <c r="E50" s="4" t="s">
        <v>71</v>
      </c>
      <c r="F50" s="4" t="n">
        <v>50</v>
      </c>
      <c r="G50" s="4" t="n">
        <v>47440</v>
      </c>
      <c r="H50" s="4" t="n">
        <v>49420</v>
      </c>
      <c r="I50" s="4" t="s">
        <v>72</v>
      </c>
      <c r="J50" s="6" t="n">
        <v>1</v>
      </c>
      <c r="K50" s="7" t="n">
        <v>0.152</v>
      </c>
      <c r="L50" s="4" t="n">
        <v>16</v>
      </c>
      <c r="M50" s="4" t="s">
        <v>73</v>
      </c>
      <c r="N50" s="7" t="n">
        <v>0.045</v>
      </c>
      <c r="O50" s="4" t="n">
        <v>0</v>
      </c>
      <c r="P50" s="4" t="n">
        <v>49390</v>
      </c>
      <c r="Q50" s="4">
        <f>GDelta(I50,P50,G50,L50/245,N50,O50,K50)*J50 </f>
        <v/>
      </c>
      <c r="R50" s="4">
        <f>GGamma(P50,G50,L50/245,N50,O50,K50)*J50 </f>
        <v/>
      </c>
      <c r="S50" s="4">
        <f>GVega(P50,G50,L50/245,N50,O50,K50)/100*J50 </f>
        <v/>
      </c>
      <c r="T50" s="4">
        <f>GTheta(I50,P50,G50,L50/245,N50,O50,K50)/245*J50 </f>
        <v/>
      </c>
      <c r="U50" s="4">
        <f>GRho(I50,P50,G50,L50/245,N50,O50,K50)/100 </f>
        <v/>
      </c>
      <c r="V50" s="4">
        <f> Q50 * F50 * P50</f>
        <v/>
      </c>
      <c r="W50" s="4">
        <f> R50 * F50 * P50 * P50/100</f>
        <v/>
      </c>
      <c r="X50" s="4">
        <f> S50 * F50 </f>
        <v/>
      </c>
      <c r="Y50" s="4">
        <f> T50 * F50 </f>
        <v/>
      </c>
      <c r="Z50" s="4">
        <f> U50 * F50 </f>
        <v/>
      </c>
      <c r="AA50" s="4" t="s">
        <v>74</v>
      </c>
      <c r="AB50" s="4" t="n">
        <v>49420</v>
      </c>
      <c r="AC50" s="4">
        <f>GDelta(I50,AB50,G50,(L50+1)/245,N50,O50,K50)*J50 </f>
        <v/>
      </c>
      <c r="AD50" s="4">
        <f>GGamma(AB50,G50,(L50+1)/245,N50,O50,K50)*J50 </f>
        <v/>
      </c>
      <c r="AE50" s="4">
        <f>GVega(AB50,G50,(L50+1)/245,N50,O50,K50)/100*J50 </f>
        <v/>
      </c>
      <c r="AF50" s="4">
        <f>GTheta(I50,AB50,G50,(L50+1)/245,N50,O50,K50)/245*J50 </f>
        <v/>
      </c>
      <c r="AG50" s="4">
        <f>GRho(I50,AB50,G50,(L50+1)/245,N50,O50,K50)/100 </f>
        <v/>
      </c>
    </row>
    <row customHeight="1" ht="20" r="51" s="1" spans="1:33">
      <c r="A51" s="4" t="s">
        <v>9</v>
      </c>
      <c r="B51" s="8" t="s">
        <v>101</v>
      </c>
      <c r="C51" s="4" t="s">
        <v>25</v>
      </c>
      <c r="D51" s="4" t="s">
        <v>77</v>
      </c>
      <c r="E51" s="4" t="s">
        <v>81</v>
      </c>
      <c r="F51" s="4" t="n">
        <v>800</v>
      </c>
      <c r="G51" s="4" t="n">
        <v>6814.8</v>
      </c>
      <c r="H51" s="4" t="n">
        <v>6310</v>
      </c>
      <c r="I51" s="4" t="s">
        <v>79</v>
      </c>
      <c r="J51" s="6" t="n">
        <v>-1</v>
      </c>
      <c r="K51" s="7" t="n">
        <v>0.2</v>
      </c>
      <c r="L51" s="4" t="n">
        <v>39</v>
      </c>
      <c r="M51" s="4" t="s">
        <v>73</v>
      </c>
      <c r="N51" s="7" t="n">
        <v>0.045</v>
      </c>
      <c r="O51" s="4" t="n">
        <v>0</v>
      </c>
      <c r="P51" s="4" t="n">
        <v>6316</v>
      </c>
      <c r="Q51" s="4">
        <f>GDelta(I51,P51,G51,L51/245,N51,O51,K51)*J51 </f>
        <v/>
      </c>
      <c r="R51" s="4">
        <f>GGamma(P51,G51,L51/245,N51,O51,K51)*J51 </f>
        <v/>
      </c>
      <c r="S51" s="4">
        <f>GVega(P51,G51,L51/245,N51,O51,K51)/100*J51 </f>
        <v/>
      </c>
      <c r="T51" s="4">
        <f>GTheta(I51,P51,G51,L51/245,N51,O51,K51)/245*J51 </f>
        <v/>
      </c>
      <c r="U51" s="4">
        <f>GRho(I51,P51,G51,L51/245,N51,O51,K51)/100 </f>
        <v/>
      </c>
      <c r="V51" s="4">
        <f> Q51 * F51 * P51</f>
        <v/>
      </c>
      <c r="W51" s="4">
        <f> R51 * F51 * P51 * P51/100</f>
        <v/>
      </c>
      <c r="X51" s="4">
        <f> S51 * F51 </f>
        <v/>
      </c>
      <c r="Y51" s="4">
        <f> T51 * F51 </f>
        <v/>
      </c>
      <c r="Z51" s="4">
        <f> U51 * F51 </f>
        <v/>
      </c>
      <c r="AA51" s="4" t="s">
        <v>74</v>
      </c>
      <c r="AB51" s="4" t="n">
        <v>6352</v>
      </c>
      <c r="AC51" s="4">
        <f>GDelta(I51,AB51,G51,(L51+1)/245,N51,O51,K51)*J51 </f>
        <v/>
      </c>
      <c r="AD51" s="4">
        <f>GGamma(AB51,G51,(L51+1)/245,N51,O51,K51)*J51 </f>
        <v/>
      </c>
      <c r="AE51" s="4">
        <f>GVega(AB51,G51,(L51+1)/245,N51,O51,K51)/100*J51 </f>
        <v/>
      </c>
      <c r="AF51" s="4">
        <f>GTheta(I51,AB51,G51,(L51+1)/245,N51,O51,K51)/245*J51 </f>
        <v/>
      </c>
      <c r="AG51" s="4">
        <f>GRho(I51,AB51,G51,(L51+1)/245,N51,O51,K51)/100 </f>
        <v/>
      </c>
    </row>
    <row customHeight="1" ht="20" r="52" s="1" spans="1:33">
      <c r="A52" s="4" t="s">
        <v>9</v>
      </c>
      <c r="B52" s="8" t="s">
        <v>101</v>
      </c>
      <c r="C52" s="4" t="s">
        <v>25</v>
      </c>
      <c r="D52" s="4" t="s">
        <v>77</v>
      </c>
      <c r="E52" s="4" t="s">
        <v>71</v>
      </c>
      <c r="F52" s="4" t="n">
        <v>800</v>
      </c>
      <c r="G52" s="4" t="n">
        <v>5805.2</v>
      </c>
      <c r="H52" s="4" t="n">
        <v>6310</v>
      </c>
      <c r="I52" s="4" t="s">
        <v>72</v>
      </c>
      <c r="J52" s="6" t="n">
        <v>-1</v>
      </c>
      <c r="K52" s="7" t="n">
        <v>0.2</v>
      </c>
      <c r="L52" s="4" t="n">
        <v>39</v>
      </c>
      <c r="M52" s="4" t="s">
        <v>73</v>
      </c>
      <c r="N52" s="7" t="n">
        <v>0.045</v>
      </c>
      <c r="O52" s="4" t="n">
        <v>0</v>
      </c>
      <c r="P52" s="4" t="n">
        <v>6316</v>
      </c>
      <c r="Q52" s="4">
        <f>GDelta(I52,P52,G52,L52/245,N52,O52,K52)*J52 </f>
        <v/>
      </c>
      <c r="R52" s="4">
        <f>GGamma(P52,G52,L52/245,N52,O52,K52)*J52 </f>
        <v/>
      </c>
      <c r="S52" s="4">
        <f>GVega(P52,G52,L52/245,N52,O52,K52)/100*J52 </f>
        <v/>
      </c>
      <c r="T52" s="4">
        <f>GTheta(I52,P52,G52,L52/245,N52,O52,K52)/245*J52 </f>
        <v/>
      </c>
      <c r="U52" s="4">
        <f>GRho(I52,P52,G52,L52/245,N52,O52,K52)/100 </f>
        <v/>
      </c>
      <c r="V52" s="4">
        <f> Q52 * F52 * P52</f>
        <v/>
      </c>
      <c r="W52" s="4">
        <f> R52 * F52 * P52 * P52/100</f>
        <v/>
      </c>
      <c r="X52" s="4">
        <f> S52 * F52 </f>
        <v/>
      </c>
      <c r="Y52" s="4">
        <f> T52 * F52 </f>
        <v/>
      </c>
      <c r="Z52" s="4">
        <f> U52 * F52 </f>
        <v/>
      </c>
      <c r="AA52" s="4" t="s">
        <v>74</v>
      </c>
      <c r="AB52" s="4" t="n">
        <v>6352</v>
      </c>
      <c r="AC52" s="4">
        <f>GDelta(I52,AB52,G52,(L52+1)/245,N52,O52,K52)*J52 </f>
        <v/>
      </c>
      <c r="AD52" s="4">
        <f>GGamma(AB52,G52,(L52+1)/245,N52,O52,K52)*J52 </f>
        <v/>
      </c>
      <c r="AE52" s="4">
        <f>GVega(AB52,G52,(L52+1)/245,N52,O52,K52)/100*J52 </f>
        <v/>
      </c>
      <c r="AF52" s="4">
        <f>GTheta(I52,AB52,G52,(L52+1)/245,N52,O52,K52)/245*J52 </f>
        <v/>
      </c>
      <c r="AG52" s="4">
        <f>GRho(I52,AB52,G52,(L52+1)/245,N52,O52,K52)/100 </f>
        <v/>
      </c>
    </row>
    <row customHeight="1" ht="20" r="53" s="1" spans="1:33">
      <c r="A53" s="9" t="s">
        <v>8</v>
      </c>
      <c r="B53" s="9" t="s">
        <v>102</v>
      </c>
      <c r="C53" s="9" t="s">
        <v>22</v>
      </c>
      <c r="D53" s="9" t="s">
        <v>77</v>
      </c>
      <c r="E53" s="9" t="s">
        <v>103</v>
      </c>
      <c r="F53" s="9" t="n">
        <v>8120.9</v>
      </c>
      <c r="G53" s="9" t="n">
        <v>1918</v>
      </c>
      <c r="H53" s="9" t="n">
        <v>1918</v>
      </c>
      <c r="I53" s="9" t="s">
        <v>79</v>
      </c>
      <c r="J53" s="10" t="n">
        <v>-1</v>
      </c>
      <c r="K53" s="11" t="n">
        <v>0.18</v>
      </c>
      <c r="L53" s="9" t="n">
        <v>9</v>
      </c>
      <c r="M53" s="9" t="s">
        <v>73</v>
      </c>
      <c r="N53" s="11" t="n">
        <v>0.045</v>
      </c>
      <c r="O53" s="9" t="n">
        <v>0</v>
      </c>
      <c r="P53" s="9" t="n">
        <v>1915</v>
      </c>
      <c r="Q53" s="9">
        <f>GDelta(I53,P53,G53,L53/245,N53,O53,K53)*J53 </f>
        <v/>
      </c>
      <c r="R53" s="9">
        <f>GGamma(P53,G53,L53/245,N53,O53,K53)*J53 </f>
        <v/>
      </c>
      <c r="S53" s="9">
        <f>GVega(P53,G53,L53/245,N53,O53,K53)/100*J53 </f>
        <v/>
      </c>
      <c r="T53" s="9">
        <f>GTheta(I53,P53,G53,L53/245,N53,O53,K53)/245*J53 </f>
        <v/>
      </c>
      <c r="U53" s="9">
        <f>GRho(I53,P53,G53,L53/245,N53,O53,K53)/100 </f>
        <v/>
      </c>
      <c r="V53" s="9">
        <f> Q53 * F53 * P53</f>
        <v/>
      </c>
      <c r="W53" s="9">
        <f> R53 * F53 * P53 * P53/100</f>
        <v/>
      </c>
      <c r="X53" s="9">
        <f> S53 * F53 </f>
        <v/>
      </c>
      <c r="Y53" s="9">
        <f> T53 * F53 </f>
        <v/>
      </c>
      <c r="Z53" s="9">
        <f> U53 * F53 </f>
        <v/>
      </c>
      <c r="AA53" s="9" t="s">
        <v>74</v>
      </c>
      <c r="AB53" s="9" t="n">
        <v>1911</v>
      </c>
      <c r="AC53" s="9">
        <f>GDelta(I53,AB53,G53,(L53+1)/245,N53,O53,K53)*J53 </f>
        <v/>
      </c>
      <c r="AD53" s="9">
        <f>GGamma(AB53,G53,(L53+1)/245,N53,O53,K53)*J53 </f>
        <v/>
      </c>
      <c r="AE53" s="9">
        <f>GVega(AB53,G53,(L53+1)/245,N53,O53,K53)/100*J53 </f>
        <v/>
      </c>
      <c r="AF53" s="9">
        <f>GTheta(I53,AB53,G53,(L53+1)/245,N53,O53,K53)/245*J53 </f>
        <v/>
      </c>
      <c r="AG53" s="9">
        <f>GRho(I53,AB53,G53,(L53+1)/245,N53,O53,K53)/100 </f>
        <v/>
      </c>
    </row>
    <row customHeight="1" ht="30" r="57" s="1" spans="1:33">
      <c r="A57" s="13" t="s">
        <v>17</v>
      </c>
      <c r="B57" s="14" t="s">
        <v>18</v>
      </c>
      <c r="C57" s="14" t="s">
        <v>19</v>
      </c>
      <c r="D57" s="14" t="s">
        <v>2</v>
      </c>
      <c r="E57" s="14" t="s">
        <v>3</v>
      </c>
      <c r="F57" s="14" t="s">
        <v>4</v>
      </c>
      <c r="G57" s="14" t="s">
        <v>5</v>
      </c>
      <c r="H57" s="14" t="s">
        <v>20</v>
      </c>
    </row>
    <row r="58" spans="1:33">
      <c r="A58" s="15" t="s">
        <v>8</v>
      </c>
      <c r="B58" t="s">
        <v>22</v>
      </c>
      <c r="C58">
        <f> V2+V53</f>
        <v/>
      </c>
      <c r="D58">
        <f> W2+W53</f>
        <v/>
      </c>
      <c r="E58">
        <f> X2+X53</f>
        <v/>
      </c>
      <c r="F58">
        <f> Y2+Y53</f>
        <v/>
      </c>
      <c r="G58">
        <f> Z2+Z53</f>
        <v/>
      </c>
      <c r="H58" t="n">
        <v>0.18</v>
      </c>
    </row>
    <row r="59" spans="1:33">
      <c r="B59" t="s">
        <v>23</v>
      </c>
      <c r="C59">
        <f> V16+V17</f>
        <v/>
      </c>
      <c r="D59">
        <f> W16+W17</f>
        <v/>
      </c>
      <c r="E59">
        <f> X16+X17</f>
        <v/>
      </c>
      <c r="F59">
        <f> Y16+Y17</f>
        <v/>
      </c>
      <c r="G59">
        <f> Z16+Z17</f>
        <v/>
      </c>
      <c r="H59" t="n">
        <v>0.152</v>
      </c>
    </row>
    <row r="60" spans="1:33">
      <c r="B60" t="s">
        <v>24</v>
      </c>
      <c r="C60">
        <f> V26+V27+V33+V34+V49+V50</f>
        <v/>
      </c>
      <c r="D60">
        <f> W26+W27+W33+W34+W49+W50</f>
        <v/>
      </c>
      <c r="E60">
        <f> X26+X27+X33+X34+X49+X50</f>
        <v/>
      </c>
      <c r="F60">
        <f> Y26+Y27+Y33+Y34+Y49+Y50</f>
        <v/>
      </c>
      <c r="G60">
        <f> Z26+Z27+Z33+Z34+Z49+Z50</f>
        <v/>
      </c>
      <c r="H60" t="n">
        <v>0.152</v>
      </c>
    </row>
    <row r="61" spans="1:33">
      <c r="B61" t="s">
        <v>25</v>
      </c>
      <c r="C61">
        <f> V31</f>
        <v/>
      </c>
      <c r="D61">
        <f> W31</f>
        <v/>
      </c>
      <c r="E61">
        <f> X31</f>
        <v/>
      </c>
      <c r="F61">
        <f> Y31</f>
        <v/>
      </c>
      <c r="G61">
        <f> Z31</f>
        <v/>
      </c>
      <c r="H61" t="n">
        <v>0.2</v>
      </c>
    </row>
    <row r="62" spans="1:33">
      <c r="B62" t="s">
        <v>26</v>
      </c>
      <c r="C62">
        <f> V40+V41</f>
        <v/>
      </c>
      <c r="D62">
        <f> W40+W41</f>
        <v/>
      </c>
      <c r="E62">
        <f> X40+X41</f>
        <v/>
      </c>
      <c r="F62">
        <f> Y40+Y41</f>
        <v/>
      </c>
      <c r="G62">
        <f> Z40+Z41</f>
        <v/>
      </c>
      <c r="H62" t="n">
        <v>0.23</v>
      </c>
    </row>
    <row r="63" spans="1:33">
      <c r="B63" t="s">
        <v>27</v>
      </c>
      <c r="C63">
        <f> V48</f>
        <v/>
      </c>
      <c r="D63">
        <f> W48</f>
        <v/>
      </c>
      <c r="E63">
        <f> X48</f>
        <v/>
      </c>
      <c r="F63">
        <f> Y48</f>
        <v/>
      </c>
      <c r="G63">
        <f> Z48</f>
        <v/>
      </c>
      <c r="H63" t="s">
        <v>100</v>
      </c>
    </row>
    <row r="64" spans="1:33">
      <c r="A64" s="15" t="s">
        <v>9</v>
      </c>
      <c r="B64" t="s">
        <v>31</v>
      </c>
      <c r="C64">
        <f> V3+V4+V11+V20+V21+V22+V38+V39+V42+V43</f>
        <v/>
      </c>
      <c r="D64">
        <f> W3+W4+W11+W20+W21+W22+W38+W39+W42+W43</f>
        <v/>
      </c>
      <c r="E64">
        <f> X3+X4+X11+X20+X21+X22+X38+X39+X42+X43</f>
        <v/>
      </c>
      <c r="F64">
        <f> Y3+Y4+Y11+Y20+Y21+Y22+Y38+Y39+Y42+Y43</f>
        <v/>
      </c>
      <c r="G64">
        <f> Z3+Z4+Z11+Z20+Z21+Z22+Z38+Z39+Z42+Z43</f>
        <v/>
      </c>
      <c r="H64" t="n">
        <v>0.173</v>
      </c>
    </row>
    <row r="65" spans="1:33">
      <c r="B65" t="s">
        <v>32</v>
      </c>
      <c r="C65">
        <f> V5+V6+V7+V8+V12+V13</f>
        <v/>
      </c>
      <c r="D65">
        <f> W5+W6+W7+W8+W12+W13</f>
        <v/>
      </c>
      <c r="E65">
        <f> X5+X6+X7+X8+X12+X13</f>
        <v/>
      </c>
      <c r="F65">
        <f> Y5+Y6+Y7+Y8+Y12+Y13</f>
        <v/>
      </c>
      <c r="G65">
        <f> Z5+Z6+Z7+Z8+Z12+Z13</f>
        <v/>
      </c>
      <c r="H65" t="n">
        <v>0.253</v>
      </c>
    </row>
    <row r="66" spans="1:33">
      <c r="B66" t="s">
        <v>33</v>
      </c>
      <c r="C66">
        <f> V9</f>
        <v/>
      </c>
      <c r="D66">
        <f> W9</f>
        <v/>
      </c>
      <c r="E66">
        <f> X9</f>
        <v/>
      </c>
      <c r="F66">
        <f> Y9</f>
        <v/>
      </c>
      <c r="G66">
        <f> Z9</f>
        <v/>
      </c>
    </row>
    <row r="67" spans="1:33">
      <c r="B67" t="s">
        <v>34</v>
      </c>
      <c r="C67">
        <f> V10</f>
        <v/>
      </c>
      <c r="D67">
        <f> W10</f>
        <v/>
      </c>
      <c r="E67">
        <f> X10</f>
        <v/>
      </c>
      <c r="F67">
        <f> Y10</f>
        <v/>
      </c>
      <c r="G67">
        <f> Z10</f>
        <v/>
      </c>
    </row>
    <row r="68" spans="1:33">
      <c r="B68" t="s">
        <v>35</v>
      </c>
      <c r="C68">
        <f> V18+V19+V24+V25+V35+V36+V44+V45+V46+V47</f>
        <v/>
      </c>
      <c r="D68">
        <f> W18+W19+W24+W25+W35+W36+W44+W45+W46+W47</f>
        <v/>
      </c>
      <c r="E68">
        <f> X18+X19+X24+X25+X35+X36+X44+X45+X46+X47</f>
        <v/>
      </c>
      <c r="F68">
        <f> Y18+Y19+Y24+Y25+Y35+Y36+Y44+Y45+Y46+Y47</f>
        <v/>
      </c>
      <c r="G68">
        <f> Z18+Z19+Z24+Z25+Z35+Z36+Z44+Z45+Z46+Z47</f>
        <v/>
      </c>
      <c r="H68" t="n">
        <v>0.09</v>
      </c>
    </row>
    <row r="69" spans="1:33">
      <c r="B69" t="s">
        <v>25</v>
      </c>
      <c r="C69">
        <f> V29+V30+V51+V52</f>
        <v/>
      </c>
      <c r="D69">
        <f> W29+W30+W51+W52</f>
        <v/>
      </c>
      <c r="E69">
        <f> X29+X30+X51+X52</f>
        <v/>
      </c>
      <c r="F69">
        <f> Y29+Y30+Y51+Y52</f>
        <v/>
      </c>
      <c r="G69">
        <f> Z29+Z30+Z51+Z52</f>
        <v/>
      </c>
      <c r="H69" t="n">
        <v>0.2</v>
      </c>
    </row>
    <row r="70" spans="1:33">
      <c r="B70" t="s">
        <v>36</v>
      </c>
      <c r="C70">
        <f> V32</f>
        <v/>
      </c>
      <c r="D70">
        <f> W32</f>
        <v/>
      </c>
      <c r="E70">
        <f> X32</f>
        <v/>
      </c>
      <c r="F70">
        <f> Y32</f>
        <v/>
      </c>
      <c r="G70">
        <f> Z32</f>
        <v/>
      </c>
      <c r="H70" t="n">
        <v>0.1258</v>
      </c>
    </row>
    <row r="71" spans="1:33">
      <c r="A71" s="15" t="s">
        <v>10</v>
      </c>
      <c r="B71" t="s">
        <v>37</v>
      </c>
      <c r="C71">
        <f> V14+V15</f>
        <v/>
      </c>
      <c r="D71">
        <f> W14+W15</f>
        <v/>
      </c>
      <c r="E71">
        <f> X14+X15</f>
        <v/>
      </c>
      <c r="F71">
        <f> Y14+Y15</f>
        <v/>
      </c>
      <c r="G71">
        <f> Z14+Z15</f>
        <v/>
      </c>
      <c r="H71" t="n">
        <v>0.1685</v>
      </c>
    </row>
    <row r="72" spans="1:33">
      <c r="B72" t="s">
        <v>30</v>
      </c>
      <c r="C72">
        <f> V23</f>
        <v/>
      </c>
      <c r="D72">
        <f> W23</f>
        <v/>
      </c>
      <c r="E72">
        <f> X23</f>
        <v/>
      </c>
      <c r="F72">
        <f> Y23</f>
        <v/>
      </c>
      <c r="G72">
        <f> Z23</f>
        <v/>
      </c>
      <c r="H72" t="n">
        <v>0.2445</v>
      </c>
    </row>
    <row r="73" spans="1:33">
      <c r="B73" t="s">
        <v>38</v>
      </c>
      <c r="C73">
        <f> V28</f>
        <v/>
      </c>
      <c r="D73">
        <f> W28</f>
        <v/>
      </c>
      <c r="E73">
        <f> X28</f>
        <v/>
      </c>
      <c r="F73">
        <f> Y28</f>
        <v/>
      </c>
      <c r="G73">
        <f> Z28</f>
        <v/>
      </c>
      <c r="H73" t="n">
        <v>0.2</v>
      </c>
    </row>
    <row r="74" spans="1:33">
      <c r="A74" s="15" t="s">
        <v>11</v>
      </c>
      <c r="B74" t="s">
        <v>22</v>
      </c>
      <c r="C74">
        <f> V37</f>
        <v/>
      </c>
      <c r="D74">
        <f> W37</f>
        <v/>
      </c>
      <c r="E74">
        <f> X37</f>
        <v/>
      </c>
      <c r="F74">
        <f> Y37</f>
        <v/>
      </c>
      <c r="G74">
        <f> Z37</f>
        <v/>
      </c>
      <c r="H74" t="n">
        <v>0.18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>
  <sheetPr codeName="Sheet5">
    <tabColor rgb="FF7030A0"/>
    <outlinePr summaryBelow="1" summaryRight="1"/>
    <pageSetUpPr/>
  </sheetPr>
  <dimension ref="A1:Q24"/>
  <sheetViews>
    <sheetView workbookViewId="0">
      <selection activeCell="G39" sqref="G39"/>
    </sheetView>
  </sheetViews>
  <sheetFormatPr baseColWidth="8" defaultRowHeight="14.25" outlineLevelCol="0"/>
  <cols>
    <col customWidth="1" max="1" min="1" style="1" width="10"/>
    <col customWidth="1" max="2" min="2" style="1" width="10"/>
    <col customWidth="1" max="3" min="3" style="1" width="20"/>
    <col customWidth="1" max="4" min="4" style="1" width="10"/>
    <col customWidth="1" max="5" min="5" style="1" width="10"/>
    <col customWidth="1" max="6" min="6" style="1" width="10"/>
    <col customWidth="1" max="7" min="7" style="1" width="10"/>
    <col customWidth="1" max="8" min="8" style="1" width="10"/>
    <col customWidth="1" max="9" min="9" style="1" width="10"/>
    <col customWidth="1" max="10" min="10" style="1" width="10"/>
    <col customWidth="1" max="11" min="11" style="1" width="10"/>
    <col customWidth="1" max="12" min="12" style="1" width="10"/>
    <col customWidth="1" max="13" min="13" style="1" width="10"/>
    <col customWidth="1" max="14" min="14" style="1" width="10"/>
    <col customWidth="1" max="15" min="15" style="1" width="10"/>
    <col customWidth="1" max="16" min="16" style="1" width="10"/>
    <col customWidth="1" max="17" min="17" style="1" width="10"/>
  </cols>
  <sheetData>
    <row customHeight="1" ht="40" r="1" s="1" spans="1:17">
      <c r="A1" s="2" t="s">
        <v>17</v>
      </c>
      <c r="B1" s="2" t="s">
        <v>104</v>
      </c>
      <c r="C1" s="2" t="s">
        <v>18</v>
      </c>
      <c r="D1" s="2" t="s">
        <v>105</v>
      </c>
      <c r="E1" s="2" t="s">
        <v>135</v>
      </c>
      <c r="F1" s="2" t="s">
        <v>107</v>
      </c>
      <c r="G1" s="2" t="s">
        <v>1</v>
      </c>
      <c r="H1" s="2" t="s">
        <v>2</v>
      </c>
      <c r="I1" s="2" t="s">
        <v>3</v>
      </c>
      <c r="J1" s="2" t="s">
        <v>4</v>
      </c>
      <c r="K1" s="2" t="s">
        <v>5</v>
      </c>
      <c r="L1" s="2" t="s">
        <v>108</v>
      </c>
      <c r="M1" s="2" t="s">
        <v>109</v>
      </c>
      <c r="N1" s="2" t="s">
        <v>110</v>
      </c>
      <c r="O1" s="2" t="s">
        <v>111</v>
      </c>
      <c r="P1" s="2" t="s">
        <v>112</v>
      </c>
      <c r="Q1" s="2" t="s">
        <v>113</v>
      </c>
    </row>
    <row r="2" spans="1:17">
      <c r="A2" t="s">
        <v>8</v>
      </c>
      <c r="B2" t="s">
        <v>114</v>
      </c>
      <c r="C2" t="s">
        <v>25</v>
      </c>
      <c r="D2" t="n">
        <v>47</v>
      </c>
      <c r="E2" t="n">
        <v>6316</v>
      </c>
      <c r="F2" t="n">
        <v>10</v>
      </c>
      <c r="G2" t="n">
        <v>1</v>
      </c>
      <c r="L2">
        <f>D2*E2*F2*G2</f>
        <v/>
      </c>
    </row>
    <row r="3" spans="1:17">
      <c r="B3" t="s">
        <v>115</v>
      </c>
      <c r="C3" t="s">
        <v>22</v>
      </c>
      <c r="D3" t="n">
        <v>459</v>
      </c>
      <c r="E3" t="n">
        <v>1915</v>
      </c>
      <c r="F3" t="n">
        <v>10</v>
      </c>
      <c r="G3" t="n">
        <v>1</v>
      </c>
      <c r="L3">
        <f>D3*E3*F3*G3</f>
        <v/>
      </c>
    </row>
    <row r="4" spans="1:17">
      <c r="C4" t="s">
        <v>28</v>
      </c>
      <c r="D4" t="n">
        <v>-550</v>
      </c>
      <c r="E4" t="n">
        <v>1966</v>
      </c>
      <c r="F4" t="n">
        <v>10</v>
      </c>
      <c r="G4" t="n">
        <v>1</v>
      </c>
      <c r="L4">
        <f>D4*E4*F4*G4</f>
        <v/>
      </c>
    </row>
    <row r="5" spans="1:17">
      <c r="B5" t="s">
        <v>116</v>
      </c>
      <c r="C5" t="s">
        <v>29</v>
      </c>
      <c r="D5" t="n">
        <v>-160</v>
      </c>
      <c r="E5" t="n">
        <v>2870</v>
      </c>
      <c r="F5" t="n">
        <v>10</v>
      </c>
      <c r="G5" t="n">
        <v>1</v>
      </c>
      <c r="L5">
        <f>D5*E5*F5*G5</f>
        <v/>
      </c>
    </row>
    <row r="6" spans="1:17">
      <c r="B6" t="s">
        <v>117</v>
      </c>
      <c r="C6" t="s">
        <v>26</v>
      </c>
      <c r="D6" t="n">
        <v>4</v>
      </c>
      <c r="E6" t="n">
        <v>1879</v>
      </c>
      <c r="F6" t="n">
        <v>100</v>
      </c>
      <c r="G6" t="n">
        <v>1</v>
      </c>
      <c r="L6">
        <f>D6*E6*F6*G6</f>
        <v/>
      </c>
    </row>
    <row r="7" spans="1:17">
      <c r="B7" t="s">
        <v>118</v>
      </c>
      <c r="C7" t="s">
        <v>30</v>
      </c>
      <c r="D7" t="n">
        <v>-5</v>
      </c>
      <c r="E7" t="n">
        <v>655.5</v>
      </c>
      <c r="F7" t="n">
        <v>100</v>
      </c>
      <c r="G7" t="n">
        <v>1</v>
      </c>
      <c r="L7">
        <f>D7*E7*F7*G7</f>
        <v/>
      </c>
    </row>
    <row r="8" spans="1:17">
      <c r="B8" t="s">
        <v>119</v>
      </c>
      <c r="C8" t="s">
        <v>23</v>
      </c>
      <c r="D8" t="n">
        <v>-2</v>
      </c>
      <c r="E8" t="n">
        <v>49240</v>
      </c>
      <c r="F8" t="n">
        <v>5</v>
      </c>
      <c r="G8" t="n">
        <v>1</v>
      </c>
      <c r="L8">
        <f>D8*E8*F8*G8</f>
        <v/>
      </c>
    </row>
    <row r="9" spans="1:17">
      <c r="B9" t="s">
        <v>120</v>
      </c>
      <c r="C9" t="s">
        <v>121</v>
      </c>
      <c r="D9" t="n">
        <v>-15</v>
      </c>
      <c r="E9" t="n">
        <v>49240</v>
      </c>
      <c r="F9" t="n">
        <v>5</v>
      </c>
      <c r="G9" t="n">
        <v>0</v>
      </c>
      <c r="H9" t="n">
        <v>0</v>
      </c>
      <c r="I9" t="n">
        <v>0</v>
      </c>
      <c r="J9" t="n">
        <v>0</v>
      </c>
      <c r="K9" t="n">
        <v>0</v>
      </c>
      <c r="L9">
        <f>D9*E9*F9*G9</f>
        <v/>
      </c>
      <c r="M9">
        <f>D9*E9*E9*F9*H9/100</f>
        <v/>
      </c>
      <c r="N9">
        <f>D9*F9*I9</f>
        <v/>
      </c>
      <c r="O9">
        <f>D9*F9*J9</f>
        <v/>
      </c>
      <c r="P9">
        <f>D9*F9*K9</f>
        <v/>
      </c>
      <c r="Q9" t="n">
        <v>0.2187</v>
      </c>
    </row>
    <row r="10" spans="1:17">
      <c r="C10" t="s">
        <v>23</v>
      </c>
      <c r="L10">
        <f> L9</f>
        <v/>
      </c>
      <c r="M10">
        <f> M9</f>
        <v/>
      </c>
      <c r="N10">
        <f> N9</f>
        <v/>
      </c>
      <c r="O10">
        <f> O9</f>
        <v/>
      </c>
      <c r="P10">
        <f> P9</f>
        <v/>
      </c>
    </row>
    <row r="11" spans="1:17">
      <c r="A11" t="s">
        <v>9</v>
      </c>
      <c r="B11" t="s">
        <v>114</v>
      </c>
      <c r="C11" t="s">
        <v>25</v>
      </c>
      <c r="D11" t="n">
        <v>50</v>
      </c>
      <c r="E11" t="n">
        <v>6316</v>
      </c>
      <c r="F11" t="n">
        <v>10</v>
      </c>
      <c r="G11" t="n">
        <v>1</v>
      </c>
      <c r="L11">
        <f>D11*E11*F11*G11</f>
        <v/>
      </c>
    </row>
    <row r="12" spans="1:17">
      <c r="B12" t="s">
        <v>122</v>
      </c>
      <c r="C12" t="s">
        <v>35</v>
      </c>
      <c r="D12" t="n">
        <v>-35</v>
      </c>
      <c r="E12" t="n">
        <v>6500</v>
      </c>
      <c r="F12" t="n">
        <v>5</v>
      </c>
      <c r="G12" t="n">
        <v>1</v>
      </c>
      <c r="L12">
        <f>D12*E12*F12*G12</f>
        <v/>
      </c>
    </row>
    <row r="13" spans="1:17">
      <c r="B13" t="s">
        <v>123</v>
      </c>
      <c r="C13" t="s">
        <v>32</v>
      </c>
      <c r="D13" t="n">
        <v>-115</v>
      </c>
      <c r="E13" t="n">
        <v>3202</v>
      </c>
      <c r="F13" t="n">
        <v>10</v>
      </c>
      <c r="G13" t="n">
        <v>1</v>
      </c>
      <c r="L13">
        <f>D13*E13*F13*G13</f>
        <v/>
      </c>
    </row>
    <row r="14" spans="1:17">
      <c r="B14" t="s">
        <v>124</v>
      </c>
      <c r="C14" t="s">
        <v>33</v>
      </c>
      <c r="D14" t="n">
        <v>-300</v>
      </c>
      <c r="E14" t="n">
        <v>14055</v>
      </c>
      <c r="F14" t="n">
        <v>5</v>
      </c>
      <c r="G14" t="n">
        <v>1</v>
      </c>
      <c r="L14">
        <f>D14*E14*F14*G14</f>
        <v/>
      </c>
    </row>
    <row r="15" spans="1:17">
      <c r="C15" t="s">
        <v>34</v>
      </c>
      <c r="D15" t="n">
        <v>300</v>
      </c>
      <c r="E15" t="n">
        <v>14020</v>
      </c>
      <c r="F15" t="n">
        <v>5</v>
      </c>
      <c r="G15" t="n">
        <v>1</v>
      </c>
      <c r="L15">
        <f>D15*E15*F15*G15</f>
        <v/>
      </c>
    </row>
    <row r="16" spans="1:17">
      <c r="B16" t="s">
        <v>125</v>
      </c>
      <c r="C16" t="s">
        <v>31</v>
      </c>
      <c r="D16" t="n">
        <v>-105</v>
      </c>
      <c r="E16" t="n">
        <v>12965</v>
      </c>
      <c r="F16" t="n">
        <v>10</v>
      </c>
      <c r="G16" t="n">
        <v>1</v>
      </c>
      <c r="L16">
        <f>D16*E16*F16*G16</f>
        <v/>
      </c>
    </row>
    <row r="17" spans="1:17">
      <c r="B17" t="s">
        <v>126</v>
      </c>
      <c r="C17" t="s">
        <v>36</v>
      </c>
      <c r="D17" t="n">
        <v>-45</v>
      </c>
      <c r="E17" t="n">
        <v>4618</v>
      </c>
      <c r="F17" t="n">
        <v>10</v>
      </c>
      <c r="G17" t="n">
        <v>1</v>
      </c>
      <c r="L17">
        <f>D17*E17*F17*G17</f>
        <v/>
      </c>
    </row>
    <row r="18" spans="1:17">
      <c r="A18" t="s">
        <v>10</v>
      </c>
      <c r="B18" t="s">
        <v>127</v>
      </c>
      <c r="C18" t="s">
        <v>38</v>
      </c>
      <c r="D18" t="n">
        <v>-124</v>
      </c>
      <c r="E18" t="n">
        <v>1631</v>
      </c>
      <c r="F18" t="n">
        <v>20</v>
      </c>
      <c r="G18" t="n">
        <v>1</v>
      </c>
      <c r="L18">
        <f>D18*E18*F18*G18</f>
        <v/>
      </c>
    </row>
    <row r="19" spans="1:17">
      <c r="B19" t="s">
        <v>118</v>
      </c>
      <c r="C19" t="s">
        <v>30</v>
      </c>
      <c r="D19" t="n">
        <v>-5</v>
      </c>
      <c r="E19" t="n">
        <v>655.5</v>
      </c>
      <c r="F19" t="n">
        <v>100</v>
      </c>
      <c r="G19" t="n">
        <v>1</v>
      </c>
      <c r="L19">
        <f>D19*E19*F19*G19</f>
        <v/>
      </c>
    </row>
    <row r="20" spans="1:17">
      <c r="B20" t="s">
        <v>128</v>
      </c>
      <c r="C20" t="s">
        <v>37</v>
      </c>
      <c r="D20" t="n">
        <v>-30</v>
      </c>
      <c r="E20" t="n">
        <v>3563</v>
      </c>
      <c r="F20" t="n">
        <v>10</v>
      </c>
      <c r="G20" t="n">
        <v>1</v>
      </c>
      <c r="L20">
        <f>D20*E20*F20*G20</f>
        <v/>
      </c>
    </row>
    <row r="21" spans="1:17">
      <c r="B21" t="s">
        <v>129</v>
      </c>
      <c r="C21" t="s">
        <v>130</v>
      </c>
      <c r="D21" t="n">
        <v>45</v>
      </c>
      <c r="E21" t="n">
        <v>655.5</v>
      </c>
      <c r="F21" t="n">
        <v>100</v>
      </c>
      <c r="G21" t="n">
        <v>0.3822</v>
      </c>
      <c r="H21" t="n">
        <v>0.0041</v>
      </c>
      <c r="I21" t="n">
        <v>1.3218</v>
      </c>
      <c r="J21" t="n">
        <v>-0.1784</v>
      </c>
      <c r="K21" t="n">
        <v>-0.0523</v>
      </c>
      <c r="L21">
        <f>D21*E21*F21*G21</f>
        <v/>
      </c>
      <c r="M21">
        <f>D21*E21*E21*F21*H21/100</f>
        <v/>
      </c>
      <c r="N21">
        <f>D21*F21*I21</f>
        <v/>
      </c>
      <c r="O21">
        <f>D21*F21*J21</f>
        <v/>
      </c>
      <c r="P21">
        <f>D21*F21*K21</f>
        <v/>
      </c>
      <c r="Q21" t="n">
        <v>0.2191</v>
      </c>
    </row>
    <row r="22" spans="1:17">
      <c r="C22" t="s">
        <v>131</v>
      </c>
      <c r="D22" t="n">
        <v>38</v>
      </c>
      <c r="E22" t="n">
        <v>655.5</v>
      </c>
      <c r="F22" t="n">
        <v>100</v>
      </c>
      <c r="G22" t="n">
        <v>-0.4029</v>
      </c>
      <c r="H22" t="n">
        <v>0.004200000000000001</v>
      </c>
      <c r="I22" t="n">
        <v>1.3251</v>
      </c>
      <c r="J22" t="n">
        <v>-0.1808</v>
      </c>
      <c r="K22" t="n">
        <v>-0.06470000000000001</v>
      </c>
      <c r="L22">
        <f>D22*E22*F22*G22</f>
        <v/>
      </c>
      <c r="M22">
        <f>D22*E22*E22*F22*H22/100</f>
        <v/>
      </c>
      <c r="N22">
        <f>D22*F22*I22</f>
        <v/>
      </c>
      <c r="O22">
        <f>D22*F22*J22</f>
        <v/>
      </c>
      <c r="P22">
        <f>D22*F22*K22</f>
        <v/>
      </c>
      <c r="Q22" t="n">
        <v>0.2425</v>
      </c>
    </row>
    <row r="23" spans="1:17">
      <c r="C23" t="s">
        <v>132</v>
      </c>
      <c r="D23" t="n">
        <v>38</v>
      </c>
      <c r="E23" t="n">
        <v>655.5</v>
      </c>
      <c r="F23" t="n">
        <v>100</v>
      </c>
      <c r="G23" t="n">
        <v>0.5925</v>
      </c>
      <c r="H23" t="n">
        <v>0.004200000000000001</v>
      </c>
      <c r="I23" t="n">
        <v>1.325</v>
      </c>
      <c r="J23" t="n">
        <v>-0.1801</v>
      </c>
      <c r="K23" t="n">
        <v>-0.09470000000000001</v>
      </c>
      <c r="L23">
        <f>D23*E23*F23*G23</f>
        <v/>
      </c>
      <c r="M23">
        <f>D23*E23*E23*F23*H23/100</f>
        <v/>
      </c>
      <c r="N23">
        <f>D23*F23*I23</f>
        <v/>
      </c>
      <c r="O23">
        <f>D23*F23*J23</f>
        <v/>
      </c>
      <c r="P23">
        <f>D23*F23*K23</f>
        <v/>
      </c>
      <c r="Q23" t="n">
        <v>0.2251</v>
      </c>
    </row>
    <row r="24" spans="1:17">
      <c r="C24" t="s">
        <v>39</v>
      </c>
      <c r="L24">
        <f> L21+L22+L23</f>
        <v/>
      </c>
      <c r="M24">
        <f> M21+M22+M23</f>
        <v/>
      </c>
      <c r="N24">
        <f> N21+N22+N23</f>
        <v/>
      </c>
      <c r="O24">
        <f> O21+O22+O23</f>
        <v/>
      </c>
      <c r="P24">
        <f> P21+P22+P23</f>
        <v/>
      </c>
    </row>
  </sheetData>
  <pageMargins bottom="0.75" footer="0.3" header="0.3" left="0.7" right="0.7" top="0.75"/>
</worksheet>
</file>

<file path=xl/worksheets/sheet6.xml><?xml version="1.0" encoding="utf-8"?>
<worksheet xmlns="http://schemas.openxmlformats.org/spreadsheetml/2006/main">
  <sheetPr>
    <tabColor rgb="FF7030A0"/>
    <outlinePr summaryBelow="1" summaryRight="1"/>
    <pageSetUpPr/>
  </sheetPr>
  <dimension ref="A3:O41"/>
  <sheetViews>
    <sheetView workbookViewId="0">
      <selection activeCell="I29" sqref="I29"/>
    </sheetView>
  </sheetViews>
  <sheetFormatPr baseColWidth="8" defaultRowHeight="14.25" outlineLevelCol="0"/>
  <cols>
    <col customWidth="1" max="1" min="1" style="1" width="14"/>
    <col customWidth="1" max="2" min="2" style="1" width="14"/>
    <col customWidth="1" max="3" min="3" style="1" width="14"/>
    <col customWidth="1" max="4" min="4" style="1" width="14"/>
    <col customWidth="1" max="5" min="5" style="1" width="14"/>
    <col customWidth="1" max="6" min="6" style="1" width="14"/>
    <col customWidth="1" max="7" min="7" style="1" width="14"/>
    <col customWidth="1" max="8" min="8" style="1" width="14"/>
    <col customWidth="1" max="9" min="9" style="1" width="14"/>
    <col customWidth="1" max="10" min="10" style="1" width="14"/>
    <col customWidth="1" max="11" min="11" style="1" width="14"/>
    <col customWidth="1" max="12" min="12" style="1" width="14"/>
    <col customWidth="1" max="13" min="13" style="1" width="14"/>
    <col customWidth="1" max="14" min="14" style="1" width="14"/>
    <col customWidth="1" max="15" min="15" style="1" width="14"/>
  </cols>
  <sheetData>
    <row r="3" spans="1:15">
      <c r="A3" s="16" t="s">
        <v>0</v>
      </c>
      <c r="B3" s="16" t="s">
        <v>1</v>
      </c>
      <c r="C3" s="16" t="s">
        <v>2</v>
      </c>
      <c r="D3" s="16" t="s">
        <v>3</v>
      </c>
      <c r="E3" s="16" t="s">
        <v>4</v>
      </c>
      <c r="F3" s="16" t="s">
        <v>5</v>
      </c>
      <c r="G3" s="14" t="s">
        <v>6</v>
      </c>
      <c r="H3" s="14" t="s">
        <v>7</v>
      </c>
    </row>
    <row r="4" spans="1:15">
      <c r="A4" s="17" t="s">
        <v>8</v>
      </c>
      <c r="B4" s="15">
        <f>SUM(C21:C29)+SUM(I21:I29)</f>
        <v/>
      </c>
      <c r="C4" s="15">
        <f>SUM(D21:D29)+SUM(J21:J29)</f>
        <v/>
      </c>
      <c r="D4" s="15">
        <f>SUM(E21:E29)+SUM(K21:K29)</f>
        <v/>
      </c>
      <c r="E4" s="15">
        <f>SUM(F21:F29)+SUM(L21:L29)</f>
        <v/>
      </c>
      <c r="F4" s="15">
        <f>SUM(G21:G29)+SUM(M21:M29)</f>
        <v/>
      </c>
      <c r="G4" s="15">
        <f>SUM(N21:N29)</f>
        <v/>
      </c>
      <c r="H4" s="15">
        <f>IF(ABS(B4)&lt;ABS(G4),"是","否")</f>
        <v/>
      </c>
    </row>
    <row r="5" spans="1:15">
      <c r="A5" s="17" t="s">
        <v>9</v>
      </c>
      <c r="B5" s="15">
        <f>SUM(C30:C36)+SUM(I30:I36)</f>
        <v/>
      </c>
      <c r="C5" s="15">
        <f>SUM(D30:D36)+SUM(J30:J36)</f>
        <v/>
      </c>
      <c r="D5" s="15">
        <f>SUM(E30:E36)+SUM(K30:K36)</f>
        <v/>
      </c>
      <c r="E5" s="15">
        <f>SUM(F30:F36)+SUM(L30:L36)</f>
        <v/>
      </c>
      <c r="F5" s="15">
        <f>SUM(G30:G36)+SUM(M30:M36)</f>
        <v/>
      </c>
      <c r="G5" s="15">
        <f>SUM(N30:N36)</f>
        <v/>
      </c>
      <c r="H5" s="15">
        <f>IF(ABS(B5)&lt;ABS(G5),"是","否")</f>
        <v/>
      </c>
    </row>
    <row r="6" spans="1:15">
      <c r="A6" s="17" t="s">
        <v>10</v>
      </c>
      <c r="B6" s="15">
        <f>SUM(C37:C40)+SUM(I37:I40)</f>
        <v/>
      </c>
      <c r="C6" s="15">
        <f>SUM(D37:D40)+SUM(J37:J40)</f>
        <v/>
      </c>
      <c r="D6" s="15">
        <f>SUM(E37:E40)+SUM(K37:K40)</f>
        <v/>
      </c>
      <c r="E6" s="15">
        <f>SUM(F37:F40)+SUM(L37:L40)</f>
        <v/>
      </c>
      <c r="F6" s="15">
        <f>SUM(G37:G40)+SUM(M37:M40)</f>
        <v/>
      </c>
      <c r="G6" s="15">
        <f>SUM(N37:N40)</f>
        <v/>
      </c>
      <c r="H6" s="15">
        <f>IF(ABS(B6)&lt;ABS(G6),"是","否")</f>
        <v/>
      </c>
    </row>
    <row r="7" spans="1:15">
      <c r="A7" s="17" t="s">
        <v>11</v>
      </c>
      <c r="B7" s="15">
        <f>SUM(C41:C41)+SUM(I41:I41)</f>
        <v/>
      </c>
      <c r="C7" s="15">
        <f>SUM(D41:D41)+SUM(J41:J41)</f>
        <v/>
      </c>
      <c r="D7" s="15">
        <f>SUM(E41:E41)+SUM(K41:K41)</f>
        <v/>
      </c>
      <c r="E7" s="15">
        <f>SUM(F41:F41)+SUM(L41:L41)</f>
        <v/>
      </c>
      <c r="F7" s="15">
        <f>SUM(G41:G41)+SUM(M41:M41)</f>
        <v/>
      </c>
      <c r="G7" s="15">
        <f>SUM(N41:N41)</f>
        <v/>
      </c>
      <c r="H7" s="15">
        <f>IF(ABS(B7)&lt;ABS(G7),"是","否")</f>
        <v/>
      </c>
    </row>
    <row r="9" spans="1:15">
      <c r="A9" s="18" t="s">
        <v>12</v>
      </c>
      <c r="B9" s="15">
        <f>SUM(G4:G8)</f>
        <v/>
      </c>
      <c r="D9" s="15" t="s">
        <v>13</v>
      </c>
      <c r="E9" s="15" t="s">
        <v>14</v>
      </c>
    </row>
    <row r="10" spans="1:15">
      <c r="A10" s="18" t="s">
        <v>15</v>
      </c>
      <c r="B10" s="15">
        <f>IF(ABS(B11)&lt;ABS(B9),"是","否")</f>
        <v/>
      </c>
      <c r="D10" s="15">
        <f>IF(ABS(D11)&lt;ABS(D9),"是","否")</f>
        <v/>
      </c>
      <c r="E10" s="15">
        <f>IF(ABS(E11)&lt;ABS(E9),"是","否")</f>
        <v/>
      </c>
    </row>
    <row r="11" spans="1:15">
      <c r="A11" s="15" t="s">
        <v>16</v>
      </c>
      <c r="B11" s="15">
        <f>SUM(B4:B8)</f>
        <v/>
      </c>
      <c r="C11" s="15">
        <f>SUM(C4:C8)</f>
        <v/>
      </c>
      <c r="D11" s="15">
        <f>SUM(D4:D8)</f>
        <v/>
      </c>
      <c r="E11" s="15">
        <f>SUM(E4:E8)</f>
        <v/>
      </c>
      <c r="F11" s="15">
        <f>SUM(F4:F8)</f>
        <v/>
      </c>
    </row>
    <row customHeight="1" ht="15" r="20" s="1" spans="1:15">
      <c r="A20" s="13" t="s">
        <v>17</v>
      </c>
      <c r="B20" s="14" t="s">
        <v>18</v>
      </c>
      <c r="C20" s="14" t="s">
        <v>19</v>
      </c>
      <c r="D20" s="14" t="s">
        <v>2</v>
      </c>
      <c r="E20" s="14" t="s">
        <v>3</v>
      </c>
      <c r="F20" s="14" t="s">
        <v>4</v>
      </c>
      <c r="G20" s="14" t="s">
        <v>5</v>
      </c>
      <c r="H20" s="14" t="s">
        <v>20</v>
      </c>
      <c r="I20" s="19" t="s">
        <v>1</v>
      </c>
      <c r="J20" s="19" t="s">
        <v>2</v>
      </c>
      <c r="K20" s="19" t="s">
        <v>3</v>
      </c>
      <c r="L20" s="19" t="s">
        <v>4</v>
      </c>
      <c r="M20" s="19" t="s">
        <v>5</v>
      </c>
      <c r="N20" s="20" t="s">
        <v>21</v>
      </c>
      <c r="O20" s="14" t="s">
        <v>7</v>
      </c>
    </row>
    <row r="21" spans="1:15">
      <c r="A21" s="15" t="s">
        <v>8</v>
      </c>
      <c r="B21" s="15" t="s">
        <v>22</v>
      </c>
      <c r="C21" s="15">
        <f>场外期权Greek结算价!C58</f>
        <v/>
      </c>
      <c r="D21" s="15">
        <f>场外期权Greek结算价!D58</f>
        <v/>
      </c>
      <c r="E21" s="15">
        <f>场外期权Greek结算价!E58</f>
        <v/>
      </c>
      <c r="F21" s="15">
        <f>场外期权Greek结算价!F58</f>
        <v/>
      </c>
      <c r="G21" s="15">
        <f>场外期权Greek结算价!G58</f>
        <v/>
      </c>
      <c r="H21" s="15">
        <f>场外期权Greek结算价!H58*100</f>
        <v/>
      </c>
      <c r="I21" s="15">
        <f>场内Greek结算价!L3</f>
        <v/>
      </c>
      <c r="J21" s="15">
        <f>场内Greek结算价!M3</f>
        <v/>
      </c>
      <c r="K21" s="15">
        <f>场内Greek结算价!N3</f>
        <v/>
      </c>
      <c r="L21" s="15">
        <f>场内Greek结算价!O3</f>
        <v/>
      </c>
      <c r="M21" s="15">
        <f>场内Greek结算价!P3</f>
        <v/>
      </c>
      <c r="N21" s="15">
        <f>MAX(1000000, ABS(0.5*D21*2 * H21/SQRT(245)))</f>
        <v/>
      </c>
      <c r="O21" s="15">
        <f>IF(ABS(C21+I21)&lt;ABS(N21),"是","否")</f>
        <v/>
      </c>
    </row>
    <row r="22" spans="1:15">
      <c r="B22" s="15" t="s">
        <v>23</v>
      </c>
      <c r="C22" s="15">
        <f>场外期权Greek结算价!C59</f>
        <v/>
      </c>
      <c r="D22" s="15">
        <f>场外期权Greek结算价!D59</f>
        <v/>
      </c>
      <c r="E22" s="15">
        <f>场外期权Greek结算价!E59</f>
        <v/>
      </c>
      <c r="F22" s="15">
        <f>场外期权Greek结算价!F59</f>
        <v/>
      </c>
      <c r="G22" s="15">
        <f>场外期权Greek结算价!G59</f>
        <v/>
      </c>
      <c r="H22" s="15">
        <f>场外期权Greek结算价!H59*100</f>
        <v/>
      </c>
      <c r="I22" s="15">
        <f>场内Greek结算价!L8+场内Greek结算价!L10</f>
        <v/>
      </c>
      <c r="J22" s="15">
        <f>场内Greek结算价!M8+场内Greek结算价!M10</f>
        <v/>
      </c>
      <c r="K22" s="15">
        <f>场内Greek结算价!N8+场内Greek结算价!N10</f>
        <v/>
      </c>
      <c r="L22" s="15">
        <f>场内Greek结算价!O8+场内Greek结算价!O10</f>
        <v/>
      </c>
      <c r="M22" s="15">
        <f>场内Greek结算价!P8+场内Greek结算价!P10</f>
        <v/>
      </c>
      <c r="N22" s="15">
        <f>MAX(1000000, ABS(0.5*D22*2 * H22/SQRT(245)))</f>
        <v/>
      </c>
      <c r="O22" s="15">
        <f>IF(ABS(C22+I22)&lt;ABS(N22),"是","否")</f>
        <v/>
      </c>
    </row>
    <row r="23" spans="1:15">
      <c r="B23" s="15" t="s">
        <v>24</v>
      </c>
      <c r="C23" s="15">
        <f>场外期权Greek结算价!C60</f>
        <v/>
      </c>
      <c r="D23" s="15">
        <f>场外期权Greek结算价!D60</f>
        <v/>
      </c>
      <c r="E23" s="15">
        <f>场外期权Greek结算价!E60</f>
        <v/>
      </c>
      <c r="F23" s="15">
        <f>场外期权Greek结算价!F60</f>
        <v/>
      </c>
      <c r="G23" s="15">
        <f>场外期权Greek结算价!G60</f>
        <v/>
      </c>
      <c r="H23" s="15">
        <f>场外期权Greek结算价!H60*100</f>
        <v/>
      </c>
      <c r="I23" s="15" t="n"/>
      <c r="J23" s="15" t="n"/>
      <c r="K23" s="15" t="n"/>
      <c r="L23" s="15" t="n"/>
      <c r="M23" s="15" t="n"/>
      <c r="N23" s="15">
        <f>MAX(1000000, ABS(0.5*D23*2 * H23/SQRT(245)))</f>
        <v/>
      </c>
      <c r="O23" s="15">
        <f>IF(ABS(C23+I23)&lt;ABS(N23),"是","否")</f>
        <v/>
      </c>
    </row>
    <row r="24" spans="1:15">
      <c r="B24" s="15" t="s">
        <v>25</v>
      </c>
      <c r="C24" s="15">
        <f>场外期权Greek结算价!C61</f>
        <v/>
      </c>
      <c r="D24" s="15">
        <f>场外期权Greek结算价!D61</f>
        <v/>
      </c>
      <c r="E24" s="15">
        <f>场外期权Greek结算价!E61</f>
        <v/>
      </c>
      <c r="F24" s="15">
        <f>场外期权Greek结算价!F61</f>
        <v/>
      </c>
      <c r="G24" s="15">
        <f>场外期权Greek结算价!G61</f>
        <v/>
      </c>
      <c r="H24" s="15">
        <f>场外期权Greek结算价!H61*100</f>
        <v/>
      </c>
      <c r="I24" s="15">
        <f>场内Greek结算价!L2</f>
        <v/>
      </c>
      <c r="J24" s="15">
        <f>场内Greek结算价!M2</f>
        <v/>
      </c>
      <c r="K24" s="15">
        <f>场内Greek结算价!N2</f>
        <v/>
      </c>
      <c r="L24" s="15">
        <f>场内Greek结算价!O2</f>
        <v/>
      </c>
      <c r="M24" s="15">
        <f>场内Greek结算价!P2</f>
        <v/>
      </c>
      <c r="N24" s="15">
        <f>MAX(1000000, ABS(0.5*D24*2 * H24/SQRT(245)))</f>
        <v/>
      </c>
      <c r="O24" s="15">
        <f>IF(ABS(C24+I24)&lt;ABS(N24),"是","否")</f>
        <v/>
      </c>
    </row>
    <row r="25" spans="1:15">
      <c r="B25" s="15" t="s">
        <v>26</v>
      </c>
      <c r="C25" s="15">
        <f>场外期权Greek结算价!C62</f>
        <v/>
      </c>
      <c r="D25" s="15">
        <f>场外期权Greek结算价!D62</f>
        <v/>
      </c>
      <c r="E25" s="15">
        <f>场外期权Greek结算价!E62</f>
        <v/>
      </c>
      <c r="F25" s="15">
        <f>场外期权Greek结算价!F62</f>
        <v/>
      </c>
      <c r="G25" s="15">
        <f>场外期权Greek结算价!G62</f>
        <v/>
      </c>
      <c r="H25" s="15">
        <f>场外期权Greek结算价!H62*100</f>
        <v/>
      </c>
      <c r="I25" s="15">
        <f>场内Greek结算价!L6</f>
        <v/>
      </c>
      <c r="J25" s="15">
        <f>场内Greek结算价!M6</f>
        <v/>
      </c>
      <c r="K25" s="15">
        <f>场内Greek结算价!N6</f>
        <v/>
      </c>
      <c r="L25" s="15">
        <f>场内Greek结算价!O6</f>
        <v/>
      </c>
      <c r="M25" s="15">
        <f>场内Greek结算价!P6</f>
        <v/>
      </c>
      <c r="N25" s="15">
        <f>MAX(1000000, ABS(0.5*D25*2 * H25/SQRT(245)))</f>
        <v/>
      </c>
      <c r="O25" s="15">
        <f>IF(ABS(C25+I25)&lt;ABS(N25),"是","否")</f>
        <v/>
      </c>
    </row>
    <row r="26" spans="1:15">
      <c r="B26" s="15" t="s">
        <v>27</v>
      </c>
      <c r="C26" s="15">
        <f>场外期权Greek结算价!C63</f>
        <v/>
      </c>
      <c r="D26" s="15">
        <f>场外期权Greek结算价!D63</f>
        <v/>
      </c>
      <c r="E26" s="15">
        <f>场外期权Greek结算价!E63</f>
        <v/>
      </c>
      <c r="F26" s="15">
        <f>场外期权Greek结算价!F63</f>
        <v/>
      </c>
      <c r="G26" s="15">
        <f>场外期权Greek结算价!G63</f>
        <v/>
      </c>
      <c r="H26" s="15">
        <f>场外期权Greek结算价!H63*100</f>
        <v/>
      </c>
      <c r="I26" s="15" t="n"/>
      <c r="J26" s="15" t="n"/>
      <c r="K26" s="15" t="n"/>
      <c r="L26" s="15" t="n"/>
      <c r="M26" s="15" t="n"/>
      <c r="N26" s="15">
        <f>MAX(1000000, ABS(0.5*D26*2 * H26/SQRT(245)))</f>
        <v/>
      </c>
      <c r="O26" s="15">
        <f>IF(ABS(C26+I26)&lt;ABS(N26),"是","否")</f>
        <v/>
      </c>
    </row>
    <row r="27" spans="1:15">
      <c r="B27" s="15" t="s">
        <v>28</v>
      </c>
      <c r="I27" s="15">
        <f>场内Greek结算价!L4</f>
        <v/>
      </c>
      <c r="J27" s="15">
        <f>场内Greek结算价!M4</f>
        <v/>
      </c>
      <c r="K27" s="15">
        <f>场内Greek结算价!N4</f>
        <v/>
      </c>
      <c r="L27" s="15">
        <f>场内Greek结算价!O4</f>
        <v/>
      </c>
      <c r="M27" s="15">
        <f>场内Greek结算价!P4</f>
        <v/>
      </c>
      <c r="N27" s="15">
        <f>MAX(1000000, ABS(0.5*D27*2 * H27/SQRT(245)))</f>
        <v/>
      </c>
      <c r="O27" s="15">
        <f>IF(ABS(C27+I27)&lt;ABS(N27),"是","否")</f>
        <v/>
      </c>
    </row>
    <row r="28" spans="1:15">
      <c r="B28" s="15" t="s">
        <v>29</v>
      </c>
      <c r="I28" s="15">
        <f>场内Greek结算价!L5</f>
        <v/>
      </c>
      <c r="J28" s="15">
        <f>场内Greek结算价!M5</f>
        <v/>
      </c>
      <c r="K28" s="15">
        <f>场内Greek结算价!N5</f>
        <v/>
      </c>
      <c r="L28" s="15">
        <f>场内Greek结算价!O5</f>
        <v/>
      </c>
      <c r="M28" s="15">
        <f>场内Greek结算价!P5</f>
        <v/>
      </c>
      <c r="N28" s="15">
        <f>MAX(1000000, ABS(0.5*D28*2 * H28/SQRT(245)))</f>
        <v/>
      </c>
      <c r="O28" s="15">
        <f>IF(ABS(C28+I28)&lt;ABS(N28),"是","否")</f>
        <v/>
      </c>
    </row>
    <row r="29" spans="1:15">
      <c r="B29" s="15" t="s">
        <v>30</v>
      </c>
      <c r="I29" s="15">
        <f>场内Greek结算价!L7</f>
        <v/>
      </c>
      <c r="J29" s="15">
        <f>场内Greek结算价!M7</f>
        <v/>
      </c>
      <c r="K29" s="15">
        <f>场内Greek结算价!N7</f>
        <v/>
      </c>
      <c r="L29" s="15">
        <f>场内Greek结算价!O7</f>
        <v/>
      </c>
      <c r="M29" s="15">
        <f>场内Greek结算价!P7</f>
        <v/>
      </c>
      <c r="N29" s="15">
        <f>MAX(1000000, ABS(0.5*D29*2 * H29/SQRT(245)))</f>
        <v/>
      </c>
      <c r="O29" s="15">
        <f>IF(ABS(C29+I29)&lt;ABS(N29),"是","否")</f>
        <v/>
      </c>
    </row>
    <row r="30" spans="1:15">
      <c r="A30" s="15" t="s">
        <v>9</v>
      </c>
      <c r="B30" s="15" t="s">
        <v>31</v>
      </c>
      <c r="C30" s="15">
        <f>场外期权Greek结算价!C64</f>
        <v/>
      </c>
      <c r="D30" s="15">
        <f>场外期权Greek结算价!D64</f>
        <v/>
      </c>
      <c r="E30" s="15">
        <f>场外期权Greek结算价!E64</f>
        <v/>
      </c>
      <c r="F30" s="15">
        <f>场外期权Greek结算价!F64</f>
        <v/>
      </c>
      <c r="G30" s="15">
        <f>场外期权Greek结算价!G64</f>
        <v/>
      </c>
      <c r="H30" s="15">
        <f>场外期权Greek结算价!H64*100</f>
        <v/>
      </c>
      <c r="I30" s="15">
        <f>场内Greek结算价!L16</f>
        <v/>
      </c>
      <c r="J30" s="15">
        <f>场内Greek结算价!M16</f>
        <v/>
      </c>
      <c r="K30" s="15">
        <f>场内Greek结算价!N16</f>
        <v/>
      </c>
      <c r="L30" s="15">
        <f>场内Greek结算价!O16</f>
        <v/>
      </c>
      <c r="M30" s="15">
        <f>场内Greek结算价!P16</f>
        <v/>
      </c>
      <c r="N30" s="15">
        <f>MAX(1000000, ABS(0.5*D30*2 * H30/SQRT(245)))</f>
        <v/>
      </c>
      <c r="O30" s="15">
        <f>IF(ABS(C30+I30)&lt;ABS(N30),"是","否")</f>
        <v/>
      </c>
    </row>
    <row r="31" spans="1:15">
      <c r="B31" s="15" t="s">
        <v>32</v>
      </c>
      <c r="C31" s="15">
        <f>场外期权Greek结算价!C65</f>
        <v/>
      </c>
      <c r="D31" s="15">
        <f>场外期权Greek结算价!D65</f>
        <v/>
      </c>
      <c r="E31" s="15">
        <f>场外期权Greek结算价!E65</f>
        <v/>
      </c>
      <c r="F31" s="15">
        <f>场外期权Greek结算价!F65</f>
        <v/>
      </c>
      <c r="G31" s="15">
        <f>场外期权Greek结算价!G65</f>
        <v/>
      </c>
      <c r="H31" s="15">
        <f>场外期权Greek结算价!H65*100</f>
        <v/>
      </c>
      <c r="I31" s="15">
        <f>场内Greek结算价!L13</f>
        <v/>
      </c>
      <c r="J31" s="15">
        <f>场内Greek结算价!M13</f>
        <v/>
      </c>
      <c r="K31" s="15">
        <f>场内Greek结算价!N13</f>
        <v/>
      </c>
      <c r="L31" s="15">
        <f>场内Greek结算价!O13</f>
        <v/>
      </c>
      <c r="M31" s="15">
        <f>场内Greek结算价!P13</f>
        <v/>
      </c>
      <c r="N31" s="15">
        <f>MAX(1000000, ABS(0.5*D31*2 * H31/SQRT(245)))</f>
        <v/>
      </c>
      <c r="O31" s="15">
        <f>IF(ABS(C31+I31)&lt;ABS(N31),"是","否")</f>
        <v/>
      </c>
    </row>
    <row r="32" spans="1:15">
      <c r="B32" s="15" t="s">
        <v>33</v>
      </c>
      <c r="C32" s="15">
        <f>场外期权Greek结算价!C66</f>
        <v/>
      </c>
      <c r="D32" s="15">
        <f>场外期权Greek结算价!D66</f>
        <v/>
      </c>
      <c r="E32" s="15">
        <f>场外期权Greek结算价!E66</f>
        <v/>
      </c>
      <c r="F32" s="15">
        <f>场外期权Greek结算价!F66</f>
        <v/>
      </c>
      <c r="G32" s="15">
        <f>场外期权Greek结算价!G66</f>
        <v/>
      </c>
      <c r="H32" s="15">
        <f>场外期权Greek结算价!H66*100</f>
        <v/>
      </c>
      <c r="I32" s="15">
        <f>场内Greek结算价!L14</f>
        <v/>
      </c>
      <c r="J32" s="15">
        <f>场内Greek结算价!M14</f>
        <v/>
      </c>
      <c r="K32" s="15">
        <f>场内Greek结算价!N14</f>
        <v/>
      </c>
      <c r="L32" s="15">
        <f>场内Greek结算价!O14</f>
        <v/>
      </c>
      <c r="M32" s="15">
        <f>场内Greek结算价!P14</f>
        <v/>
      </c>
      <c r="N32" s="15">
        <f>MAX(1000000, ABS(0.5*D32*2 * H32/SQRT(245)))</f>
        <v/>
      </c>
      <c r="O32" s="15">
        <f>IF(ABS(C32+I32)&lt;ABS(N32),"是","否")</f>
        <v/>
      </c>
    </row>
    <row r="33" spans="1:15">
      <c r="B33" s="15" t="s">
        <v>34</v>
      </c>
      <c r="C33" s="15">
        <f>场外期权Greek结算价!C67</f>
        <v/>
      </c>
      <c r="D33" s="15">
        <f>场外期权Greek结算价!D67</f>
        <v/>
      </c>
      <c r="E33" s="15">
        <f>场外期权Greek结算价!E67</f>
        <v/>
      </c>
      <c r="F33" s="15">
        <f>场外期权Greek结算价!F67</f>
        <v/>
      </c>
      <c r="G33" s="15">
        <f>场外期权Greek结算价!G67</f>
        <v/>
      </c>
      <c r="H33" s="15">
        <f>场外期权Greek结算价!H67*100</f>
        <v/>
      </c>
      <c r="I33" s="15">
        <f>场内Greek结算价!L15</f>
        <v/>
      </c>
      <c r="J33" s="15">
        <f>场内Greek结算价!M15</f>
        <v/>
      </c>
      <c r="K33" s="15">
        <f>场内Greek结算价!N15</f>
        <v/>
      </c>
      <c r="L33" s="15">
        <f>场内Greek结算价!O15</f>
        <v/>
      </c>
      <c r="M33" s="15">
        <f>场内Greek结算价!P15</f>
        <v/>
      </c>
      <c r="N33" s="15">
        <f>MAX(1000000, ABS(0.5*D33*2 * H33/SQRT(245)))</f>
        <v/>
      </c>
      <c r="O33" s="15">
        <f>IF(ABS(C33+I33)&lt;ABS(N33),"是","否")</f>
        <v/>
      </c>
    </row>
    <row r="34" spans="1:15">
      <c r="B34" s="15" t="s">
        <v>35</v>
      </c>
      <c r="C34" s="15">
        <f>场外期权Greek结算价!C68</f>
        <v/>
      </c>
      <c r="D34" s="15">
        <f>场外期权Greek结算价!D68</f>
        <v/>
      </c>
      <c r="E34" s="15">
        <f>场外期权Greek结算价!E68</f>
        <v/>
      </c>
      <c r="F34" s="15">
        <f>场外期权Greek结算价!F68</f>
        <v/>
      </c>
      <c r="G34" s="15">
        <f>场外期权Greek结算价!G68</f>
        <v/>
      </c>
      <c r="H34" s="15">
        <f>场外期权Greek结算价!H68*100</f>
        <v/>
      </c>
      <c r="I34" s="15">
        <f>场内Greek结算价!L12</f>
        <v/>
      </c>
      <c r="J34" s="15">
        <f>场内Greek结算价!M12</f>
        <v/>
      </c>
      <c r="K34" s="15">
        <f>场内Greek结算价!N12</f>
        <v/>
      </c>
      <c r="L34" s="15">
        <f>场内Greek结算价!O12</f>
        <v/>
      </c>
      <c r="M34" s="15">
        <f>场内Greek结算价!P12</f>
        <v/>
      </c>
      <c r="N34" s="15">
        <f>MAX(1000000, ABS(0.5*D34*2 * H34/SQRT(245)))</f>
        <v/>
      </c>
      <c r="O34" s="15">
        <f>IF(ABS(C34+I34)&lt;ABS(N34),"是","否")</f>
        <v/>
      </c>
    </row>
    <row r="35" spans="1:15">
      <c r="B35" s="15" t="s">
        <v>25</v>
      </c>
      <c r="C35" s="15">
        <f>场外期权Greek结算价!C69</f>
        <v/>
      </c>
      <c r="D35" s="15">
        <f>场外期权Greek结算价!D69</f>
        <v/>
      </c>
      <c r="E35" s="15">
        <f>场外期权Greek结算价!E69</f>
        <v/>
      </c>
      <c r="F35" s="15">
        <f>场外期权Greek结算价!F69</f>
        <v/>
      </c>
      <c r="G35" s="15">
        <f>场外期权Greek结算价!G69</f>
        <v/>
      </c>
      <c r="H35" s="15">
        <f>场外期权Greek结算价!H69*100</f>
        <v/>
      </c>
      <c r="I35" s="15">
        <f>场内Greek结算价!L11</f>
        <v/>
      </c>
      <c r="J35" s="15">
        <f>场内Greek结算价!M11</f>
        <v/>
      </c>
      <c r="K35" s="15">
        <f>场内Greek结算价!N11</f>
        <v/>
      </c>
      <c r="L35" s="15">
        <f>场内Greek结算价!O11</f>
        <v/>
      </c>
      <c r="M35" s="15">
        <f>场内Greek结算价!P11</f>
        <v/>
      </c>
      <c r="N35" s="15">
        <f>MAX(1000000, ABS(0.5*D35*2 * H35/SQRT(245)))</f>
        <v/>
      </c>
      <c r="O35" s="15">
        <f>IF(ABS(C35+I35)&lt;ABS(N35),"是","否")</f>
        <v/>
      </c>
    </row>
    <row r="36" spans="1:15">
      <c r="B36" s="15" t="s">
        <v>36</v>
      </c>
      <c r="C36" s="15">
        <f>场外期权Greek结算价!C70</f>
        <v/>
      </c>
      <c r="D36" s="15">
        <f>场外期权Greek结算价!D70</f>
        <v/>
      </c>
      <c r="E36" s="15">
        <f>场外期权Greek结算价!E70</f>
        <v/>
      </c>
      <c r="F36" s="15">
        <f>场外期权Greek结算价!F70</f>
        <v/>
      </c>
      <c r="G36" s="15">
        <f>场外期权Greek结算价!G70</f>
        <v/>
      </c>
      <c r="H36" s="15">
        <f>场外期权Greek结算价!H70*100</f>
        <v/>
      </c>
      <c r="I36" s="15">
        <f>场内Greek结算价!L17</f>
        <v/>
      </c>
      <c r="J36" s="15">
        <f>场内Greek结算价!M17</f>
        <v/>
      </c>
      <c r="K36" s="15">
        <f>场内Greek结算价!N17</f>
        <v/>
      </c>
      <c r="L36" s="15">
        <f>场内Greek结算价!O17</f>
        <v/>
      </c>
      <c r="M36" s="15">
        <f>场内Greek结算价!P17</f>
        <v/>
      </c>
      <c r="N36" s="15">
        <f>MAX(1000000, ABS(0.5*D36*2 * H36/SQRT(245)))</f>
        <v/>
      </c>
      <c r="O36" s="15">
        <f>IF(ABS(C36+I36)&lt;ABS(N36),"是","否")</f>
        <v/>
      </c>
    </row>
    <row r="37" spans="1:15">
      <c r="A37" s="15" t="s">
        <v>10</v>
      </c>
      <c r="B37" s="15" t="s">
        <v>37</v>
      </c>
      <c r="C37" s="15">
        <f>场外期权Greek结算价!C71</f>
        <v/>
      </c>
      <c r="D37" s="15">
        <f>场外期权Greek结算价!D71</f>
        <v/>
      </c>
      <c r="E37" s="15">
        <f>场外期权Greek结算价!E71</f>
        <v/>
      </c>
      <c r="F37" s="15">
        <f>场外期权Greek结算价!F71</f>
        <v/>
      </c>
      <c r="G37" s="15">
        <f>场外期权Greek结算价!G71</f>
        <v/>
      </c>
      <c r="H37" s="15">
        <f>场外期权Greek结算价!H71*100</f>
        <v/>
      </c>
      <c r="I37" s="15">
        <f>场内Greek结算价!L20</f>
        <v/>
      </c>
      <c r="J37" s="15">
        <f>场内Greek结算价!M20</f>
        <v/>
      </c>
      <c r="K37" s="15">
        <f>场内Greek结算价!N20</f>
        <v/>
      </c>
      <c r="L37" s="15">
        <f>场内Greek结算价!O20</f>
        <v/>
      </c>
      <c r="M37" s="15">
        <f>场内Greek结算价!P20</f>
        <v/>
      </c>
      <c r="N37" s="15">
        <f>MAX(1000000, ABS(0.5*D37*2 * H37/SQRT(245)))</f>
        <v/>
      </c>
      <c r="O37" s="15">
        <f>IF(ABS(C37+I37)&lt;ABS(N37),"是","否")</f>
        <v/>
      </c>
    </row>
    <row r="38" spans="1:15">
      <c r="B38" s="15" t="s">
        <v>30</v>
      </c>
      <c r="C38" s="15">
        <f>场外期权Greek结算价!C72</f>
        <v/>
      </c>
      <c r="D38" s="15">
        <f>场外期权Greek结算价!D72</f>
        <v/>
      </c>
      <c r="E38" s="15">
        <f>场外期权Greek结算价!E72</f>
        <v/>
      </c>
      <c r="F38" s="15">
        <f>场外期权Greek结算价!F72</f>
        <v/>
      </c>
      <c r="G38" s="15">
        <f>场外期权Greek结算价!G72</f>
        <v/>
      </c>
      <c r="H38" s="15">
        <f>场外期权Greek结算价!H72*100</f>
        <v/>
      </c>
      <c r="I38" s="15">
        <f>场内Greek结算价!L19</f>
        <v/>
      </c>
      <c r="J38" s="15">
        <f>场内Greek结算价!M19</f>
        <v/>
      </c>
      <c r="K38" s="15">
        <f>场内Greek结算价!N19</f>
        <v/>
      </c>
      <c r="L38" s="15">
        <f>场内Greek结算价!O19</f>
        <v/>
      </c>
      <c r="M38" s="15">
        <f>场内Greek结算价!P19</f>
        <v/>
      </c>
      <c r="N38" s="15">
        <f>MAX(1000000, ABS(0.5*D38*2 * H38/SQRT(245)))</f>
        <v/>
      </c>
      <c r="O38" s="15">
        <f>IF(ABS(C38+I38)&lt;ABS(N38),"是","否")</f>
        <v/>
      </c>
    </row>
    <row r="39" spans="1:15">
      <c r="B39" s="15" t="s">
        <v>38</v>
      </c>
      <c r="C39" s="15">
        <f>场外期权Greek结算价!C73</f>
        <v/>
      </c>
      <c r="D39" s="15">
        <f>场外期权Greek结算价!D73</f>
        <v/>
      </c>
      <c r="E39" s="15">
        <f>场外期权Greek结算价!E73</f>
        <v/>
      </c>
      <c r="F39" s="15">
        <f>场外期权Greek结算价!F73</f>
        <v/>
      </c>
      <c r="G39" s="15">
        <f>场外期权Greek结算价!G73</f>
        <v/>
      </c>
      <c r="H39" s="15">
        <f>场外期权Greek结算价!H73*100</f>
        <v/>
      </c>
      <c r="I39" s="15">
        <f>场内Greek结算价!L18</f>
        <v/>
      </c>
      <c r="J39" s="15">
        <f>场内Greek结算价!M18</f>
        <v/>
      </c>
      <c r="K39" s="15">
        <f>场内Greek结算价!N18</f>
        <v/>
      </c>
      <c r="L39" s="15">
        <f>场内Greek结算价!O18</f>
        <v/>
      </c>
      <c r="M39" s="15">
        <f>场内Greek结算价!P18</f>
        <v/>
      </c>
      <c r="N39" s="15">
        <f>MAX(1000000, ABS(0.5*D39*2 * H39/SQRT(245)))</f>
        <v/>
      </c>
      <c r="O39" s="15">
        <f>IF(ABS(C39+I39)&lt;ABS(N39),"是","否")</f>
        <v/>
      </c>
    </row>
    <row r="40" spans="1:15">
      <c r="B40" s="15" t="s">
        <v>39</v>
      </c>
      <c r="I40" s="15">
        <f>场内Greek结算价!L24</f>
        <v/>
      </c>
      <c r="J40" s="15">
        <f>场内Greek结算价!M24</f>
        <v/>
      </c>
      <c r="K40" s="15">
        <f>场内Greek结算价!N24</f>
        <v/>
      </c>
      <c r="L40" s="15">
        <f>场内Greek结算价!O24</f>
        <v/>
      </c>
      <c r="M40" s="15">
        <f>场内Greek结算价!P24</f>
        <v/>
      </c>
      <c r="N40" s="15">
        <f>MAX(1000000, ABS(0.5*D40*2 * H40/SQRT(245)))</f>
        <v/>
      </c>
      <c r="O40" s="15">
        <f>IF(ABS(C40+I40)&lt;ABS(N40),"是","否")</f>
        <v/>
      </c>
    </row>
    <row r="41" spans="1:15">
      <c r="A41" s="15" t="s">
        <v>11</v>
      </c>
      <c r="B41" s="15" t="s">
        <v>22</v>
      </c>
      <c r="C41" s="15">
        <f>场外期权Greek结算价!C74</f>
        <v/>
      </c>
      <c r="D41" s="15">
        <f>场外期权Greek结算价!D74</f>
        <v/>
      </c>
      <c r="E41" s="15">
        <f>场外期权Greek结算价!E74</f>
        <v/>
      </c>
      <c r="F41" s="15">
        <f>场外期权Greek结算价!F74</f>
        <v/>
      </c>
      <c r="G41" s="15">
        <f>场外期权Greek结算价!G74</f>
        <v/>
      </c>
      <c r="H41" s="15">
        <f>场外期权Greek结算价!H74*100</f>
        <v/>
      </c>
      <c r="I41" s="15" t="n"/>
      <c r="J41" s="15" t="n"/>
      <c r="K41" s="15" t="n"/>
      <c r="L41" s="15" t="n"/>
      <c r="M41" s="15" t="n"/>
      <c r="N41" s="15">
        <f>MAX(1000000, ABS(0.5*D41*2 * H41/SQRT(245)))</f>
        <v/>
      </c>
      <c r="O41" s="15">
        <f>IF(ABS(C41+I41)&lt;ABS(N41),"是","否")</f>
        <v/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>
  <Application>Microsoft Excel</Application>
  <AppVersion>2.5</AppVersion>
</Properties>
</file>

<file path=docProps/core.xml><?xml version="1.0" encoding="utf-8"?>
<cp:coreProperties xmlns:cp="http://schemas.openxmlformats.org/package/2006/metadata/core-properties">
  <dc:creator xmlns:dc="http://purl.org/dc/elements/1.1/">Windows 用户</dc:creator>
  <dcterms:created xmlns:dcterms="http://purl.org/dc/terms/" xmlns:xsi="http://www.w3.org/2001/XMLSchema-instance" xsi:type="dcterms:W3CDTF">2019-08-14T06:42:31Z</dcterms:created>
  <dcterms:modified xmlns:dcterms="http://purl.org/dc/terms/" xmlns:xsi="http://www.w3.org/2001/XMLSchema-instance" xsi:type="dcterms:W3CDTF">2019-08-29T05:28:35Z</dcterms:modified>
  <cp:lastModifiedBy>Windows 用户</cp:lastModifiedBy>
</cp:coreProperties>
</file>